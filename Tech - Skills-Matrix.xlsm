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ope-tai\Downloads\"/>
    </mc:Choice>
  </mc:AlternateContent>
  <xr:revisionPtr revIDLastSave="0" documentId="8_{1FF92A64-2181-44DF-9A7D-A2655C54C8DE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Roles Matrix" sheetId="1" r:id="rId1"/>
    <sheet name="Temp" sheetId="11" state="hidden" r:id="rId2"/>
    <sheet name="Skills Matrix" sheetId="2" r:id="rId3"/>
    <sheet name="Gap Analysis" sheetId="3" state="hidden" r:id="rId4"/>
    <sheet name="_tmpRoleList" sheetId="10" state="veryHidden" r:id="rId5"/>
    <sheet name="Chart Analysis" sheetId="7" state="hidden" r:id="rId6"/>
    <sheet name="Version" sheetId="8" r:id="rId7"/>
    <sheet name="Readme" sheetId="9" r:id="rId8"/>
  </sheets>
  <functionGroups builtInGroupCount="19"/>
  <definedNames>
    <definedName name="Chart_EmpListSkill">Temp!$F$1:$F$6</definedName>
    <definedName name="ChartAnalysis_GapRole">OFFSET('Chart Analysis'!$A$5,0,0,COUNTA('Chart Analysis'!$A:$A),4)</definedName>
    <definedName name="ChartAnalysis_TeamSkillGap">OFFSET('Chart Analysis'!$T$26,0,0,COUNTA('Chart Analysis'!$T:$T),2)</definedName>
    <definedName name="GapAnalysis_Data">'Gap Analysis'!$C$14:$N$14</definedName>
    <definedName name="GapAnalysis_Skills">'Gap Analysis'!$F$8:$N$8</definedName>
    <definedName name="ListEmp">Temp!$A$2:$A$3</definedName>
    <definedName name="ListEmployee">'Chart Analysis'!$B$2:$B$5</definedName>
    <definedName name="ListRole">Temp!$D$2:$D$39</definedName>
    <definedName name="ListRoleEmp">_tmpRoleList!$A$1:$A$2</definedName>
    <definedName name="RolesMatrix_Data">'Roles Matrix'!#REF!</definedName>
    <definedName name="RolesMatrix_Skills">'Roles Matrix'!#REF!</definedName>
    <definedName name="SkillsMatrix_Data">'Skills Matrix'!#REF!</definedName>
    <definedName name="SkillsMatrix_Skills">'Skills Matrix'!#REF!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H16" i="2" l="1"/>
  <c r="CG16" i="2"/>
  <c r="CF16" i="2"/>
  <c r="CE16" i="2"/>
  <c r="CD16" i="2"/>
  <c r="CC16" i="2"/>
  <c r="CB16" i="2"/>
  <c r="CA16" i="2"/>
  <c r="BZ16" i="2"/>
  <c r="BY16" i="2"/>
  <c r="BX16" i="2"/>
  <c r="BW16" i="2"/>
  <c r="BV16" i="2"/>
  <c r="BU16" i="2"/>
  <c r="BT16" i="2"/>
  <c r="BS16" i="2"/>
  <c r="BR16" i="2"/>
  <c r="BQ16" i="2"/>
  <c r="BP16" i="2"/>
  <c r="BO16" i="2"/>
  <c r="BN16" i="2"/>
  <c r="BM16" i="2"/>
  <c r="BL16" i="2"/>
  <c r="BK16" i="2"/>
  <c r="BJ16" i="2"/>
  <c r="BI16" i="2"/>
  <c r="BH16" i="2"/>
  <c r="BG16" i="2"/>
  <c r="BF16" i="2"/>
  <c r="BE16" i="2"/>
  <c r="BD16" i="2"/>
  <c r="BC16" i="2"/>
  <c r="BB16" i="2"/>
  <c r="BA16" i="2"/>
  <c r="AZ16" i="2"/>
  <c r="AY16" i="2"/>
  <c r="AX16" i="2"/>
  <c r="AW16" i="2"/>
  <c r="AV16" i="2"/>
  <c r="AU16" i="2"/>
  <c r="AT16" i="2"/>
  <c r="AS16" i="2"/>
  <c r="AR16" i="2"/>
  <c r="AQ16" i="2"/>
  <c r="AP16" i="2"/>
  <c r="AO16" i="2"/>
  <c r="AN16" i="2"/>
  <c r="AM16" i="2"/>
  <c r="AL16" i="2"/>
  <c r="AK16" i="2"/>
  <c r="AJ16" i="2"/>
  <c r="AI16" i="2"/>
  <c r="AH16" i="2"/>
  <c r="AG16" i="2"/>
  <c r="AF16" i="2"/>
  <c r="AE16" i="2"/>
  <c r="AD16" i="2"/>
  <c r="AC16" i="2"/>
  <c r="AB16" i="2"/>
  <c r="AA16" i="2"/>
  <c r="Z16" i="2"/>
  <c r="Y16" i="2"/>
  <c r="X16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CH19" i="2"/>
  <c r="CG19" i="2"/>
  <c r="CF19" i="2"/>
  <c r="CE19" i="2"/>
  <c r="CD19" i="2"/>
  <c r="CC19" i="2"/>
  <c r="CB19" i="2"/>
  <c r="CA19" i="2"/>
  <c r="BZ19" i="2"/>
  <c r="BY19" i="2"/>
  <c r="BX19" i="2"/>
  <c r="BW19" i="2"/>
  <c r="BV19" i="2"/>
  <c r="BU19" i="2"/>
  <c r="BT19" i="2"/>
  <c r="BS19" i="2"/>
  <c r="BR19" i="2"/>
  <c r="BQ19" i="2"/>
  <c r="BP19" i="2"/>
  <c r="BO19" i="2"/>
  <c r="BN19" i="2"/>
  <c r="BM19" i="2"/>
  <c r="BL19" i="2"/>
  <c r="BK19" i="2"/>
  <c r="BJ19" i="2"/>
  <c r="BI19" i="2"/>
  <c r="BH19" i="2"/>
  <c r="BG19" i="2"/>
  <c r="BF19" i="2"/>
  <c r="BE19" i="2"/>
  <c r="BD19" i="2"/>
  <c r="BC19" i="2"/>
  <c r="BB19" i="2"/>
  <c r="BA19" i="2"/>
  <c r="AZ19" i="2"/>
  <c r="AY19" i="2"/>
  <c r="AX19" i="2"/>
  <c r="AW19" i="2"/>
  <c r="AV19" i="2"/>
  <c r="AU19" i="2"/>
  <c r="AT19" i="2"/>
  <c r="AS19" i="2"/>
  <c r="AR19" i="2"/>
  <c r="AQ19" i="2"/>
  <c r="AP19" i="2"/>
  <c r="AO19" i="2"/>
  <c r="AN19" i="2"/>
  <c r="AM19" i="2"/>
  <c r="AL19" i="2"/>
  <c r="AK19" i="2"/>
  <c r="AJ19" i="2"/>
  <c r="AI19" i="2"/>
  <c r="AH19" i="2"/>
  <c r="AG19" i="2"/>
  <c r="AF19" i="2"/>
  <c r="AE19" i="2"/>
  <c r="AD19" i="2"/>
  <c r="AC19" i="2"/>
  <c r="AB19" i="2"/>
  <c r="AA19" i="2"/>
  <c r="Z19" i="2"/>
  <c r="Y19" i="2"/>
  <c r="X19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CH22" i="2"/>
  <c r="CG22" i="2"/>
  <c r="CF22" i="2"/>
  <c r="CE22" i="2"/>
  <c r="CD22" i="2"/>
  <c r="CC22" i="2"/>
  <c r="CB22" i="2"/>
  <c r="CA22" i="2"/>
  <c r="BZ22" i="2"/>
  <c r="BY22" i="2"/>
  <c r="BX22" i="2"/>
  <c r="BW22" i="2"/>
  <c r="BV22" i="2"/>
  <c r="BU22" i="2"/>
  <c r="BT22" i="2"/>
  <c r="BS22" i="2"/>
  <c r="BR22" i="2"/>
  <c r="BQ22" i="2"/>
  <c r="BP22" i="2"/>
  <c r="BO22" i="2"/>
  <c r="BN22" i="2"/>
  <c r="BM22" i="2"/>
  <c r="BL22" i="2"/>
  <c r="BK22" i="2"/>
  <c r="BJ22" i="2"/>
  <c r="BI22" i="2"/>
  <c r="BH22" i="2"/>
  <c r="BG22" i="2"/>
  <c r="BF22" i="2"/>
  <c r="BE22" i="2"/>
  <c r="BD22" i="2"/>
  <c r="BC22" i="2"/>
  <c r="BB22" i="2"/>
  <c r="BA22" i="2"/>
  <c r="AZ22" i="2"/>
  <c r="AY22" i="2"/>
  <c r="AX22" i="2"/>
  <c r="AW22" i="2"/>
  <c r="AV22" i="2"/>
  <c r="AU22" i="2"/>
  <c r="AT22" i="2"/>
  <c r="AS22" i="2"/>
  <c r="AR22" i="2"/>
  <c r="AQ22" i="2"/>
  <c r="AP22" i="2"/>
  <c r="AO22" i="2"/>
  <c r="AN22" i="2"/>
  <c r="AM22" i="2"/>
  <c r="AL22" i="2"/>
  <c r="AK22" i="2"/>
  <c r="AJ22" i="2"/>
  <c r="AI22" i="2"/>
  <c r="AH22" i="2"/>
  <c r="AG22" i="2"/>
  <c r="AF22" i="2"/>
  <c r="AE22" i="2"/>
  <c r="AD22" i="2"/>
  <c r="AC22" i="2"/>
  <c r="AB22" i="2"/>
  <c r="AA22" i="2"/>
  <c r="Z22" i="2"/>
  <c r="Y22" i="2"/>
  <c r="X22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CH25" i="2"/>
  <c r="CG25" i="2"/>
  <c r="CF25" i="2"/>
  <c r="CE25" i="2"/>
  <c r="CD25" i="2"/>
  <c r="CC25" i="2"/>
  <c r="CB25" i="2"/>
  <c r="CA25" i="2"/>
  <c r="BZ25" i="2"/>
  <c r="BY25" i="2"/>
  <c r="BX25" i="2"/>
  <c r="BW25" i="2"/>
  <c r="BV25" i="2"/>
  <c r="BU25" i="2"/>
  <c r="BT25" i="2"/>
  <c r="BS25" i="2"/>
  <c r="BR25" i="2"/>
  <c r="BQ25" i="2"/>
  <c r="BP25" i="2"/>
  <c r="BO25" i="2"/>
  <c r="BN25" i="2"/>
  <c r="BM25" i="2"/>
  <c r="BL25" i="2"/>
  <c r="BK25" i="2"/>
  <c r="BJ25" i="2"/>
  <c r="BI25" i="2"/>
  <c r="BH25" i="2"/>
  <c r="BG25" i="2"/>
  <c r="BF25" i="2"/>
  <c r="BE25" i="2"/>
  <c r="BD25" i="2"/>
  <c r="BC25" i="2"/>
  <c r="BB25" i="2"/>
  <c r="BA25" i="2"/>
  <c r="AZ25" i="2"/>
  <c r="AY25" i="2"/>
  <c r="AX25" i="2"/>
  <c r="AW25" i="2"/>
  <c r="AV25" i="2"/>
  <c r="AU25" i="2"/>
  <c r="AT25" i="2"/>
  <c r="AS25" i="2"/>
  <c r="AR25" i="2"/>
  <c r="AQ25" i="2"/>
  <c r="AP25" i="2"/>
  <c r="AO25" i="2"/>
  <c r="AN25" i="2"/>
  <c r="AM25" i="2"/>
  <c r="AL25" i="2"/>
  <c r="AK25" i="2"/>
  <c r="AJ25" i="2"/>
  <c r="AI25" i="2"/>
  <c r="AH25" i="2"/>
  <c r="AG25" i="2"/>
  <c r="AF25" i="2"/>
  <c r="AE25" i="2"/>
  <c r="AD25" i="2"/>
  <c r="AC25" i="2"/>
  <c r="AB25" i="2"/>
  <c r="AA25" i="2"/>
  <c r="Z25" i="2"/>
  <c r="Y25" i="2"/>
  <c r="X25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CH28" i="2"/>
  <c r="CG28" i="2"/>
  <c r="CF28" i="2"/>
  <c r="CE28" i="2"/>
  <c r="CD28" i="2"/>
  <c r="CC28" i="2"/>
  <c r="CB28" i="2"/>
  <c r="CA28" i="2"/>
  <c r="BZ28" i="2"/>
  <c r="BY28" i="2"/>
  <c r="BX28" i="2"/>
  <c r="BW28" i="2"/>
  <c r="BV28" i="2"/>
  <c r="BU28" i="2"/>
  <c r="BT28" i="2"/>
  <c r="BS28" i="2"/>
  <c r="BR28" i="2"/>
  <c r="BQ28" i="2"/>
  <c r="BP28" i="2"/>
  <c r="BO28" i="2"/>
  <c r="BN28" i="2"/>
  <c r="BM28" i="2"/>
  <c r="BL28" i="2"/>
  <c r="BK28" i="2"/>
  <c r="BJ28" i="2"/>
  <c r="BI28" i="2"/>
  <c r="BH28" i="2"/>
  <c r="BG28" i="2"/>
  <c r="BF28" i="2"/>
  <c r="BE28" i="2"/>
  <c r="BD28" i="2"/>
  <c r="BC28" i="2"/>
  <c r="BB28" i="2"/>
  <c r="BA28" i="2"/>
  <c r="AZ28" i="2"/>
  <c r="AY28" i="2"/>
  <c r="AX28" i="2"/>
  <c r="AW28" i="2"/>
  <c r="AV28" i="2"/>
  <c r="AU28" i="2"/>
  <c r="AT28" i="2"/>
  <c r="AS28" i="2"/>
  <c r="AR28" i="2"/>
  <c r="AQ28" i="2"/>
  <c r="AP28" i="2"/>
  <c r="AO28" i="2"/>
  <c r="AN28" i="2"/>
  <c r="AM28" i="2"/>
  <c r="AL28" i="2"/>
  <c r="AK28" i="2"/>
  <c r="AJ28" i="2"/>
  <c r="AI28" i="2"/>
  <c r="AH28" i="2"/>
  <c r="AG28" i="2"/>
  <c r="AF28" i="2"/>
  <c r="AE28" i="2"/>
  <c r="AD28" i="2"/>
  <c r="AC28" i="2"/>
  <c r="AB28" i="2"/>
  <c r="AA28" i="2"/>
  <c r="Z28" i="2"/>
  <c r="Y28" i="2"/>
  <c r="X28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CH31" i="2"/>
  <c r="CG31" i="2"/>
  <c r="CF31" i="2"/>
  <c r="CE31" i="2"/>
  <c r="CD31" i="2"/>
  <c r="CC31" i="2"/>
  <c r="CB31" i="2"/>
  <c r="CA31" i="2"/>
  <c r="BZ31" i="2"/>
  <c r="BY31" i="2"/>
  <c r="BX31" i="2"/>
  <c r="BW31" i="2"/>
  <c r="BV31" i="2"/>
  <c r="BU31" i="2"/>
  <c r="BT31" i="2"/>
  <c r="BS31" i="2"/>
  <c r="BR31" i="2"/>
  <c r="BQ31" i="2"/>
  <c r="BP31" i="2"/>
  <c r="BO31" i="2"/>
  <c r="BN31" i="2"/>
  <c r="BM31" i="2"/>
  <c r="BL31" i="2"/>
  <c r="BK31" i="2"/>
  <c r="BJ31" i="2"/>
  <c r="BI31" i="2"/>
  <c r="BH31" i="2"/>
  <c r="BG31" i="2"/>
  <c r="BF31" i="2"/>
  <c r="BE31" i="2"/>
  <c r="BD31" i="2"/>
  <c r="BC31" i="2"/>
  <c r="BB31" i="2"/>
  <c r="BA31" i="2"/>
  <c r="AZ31" i="2"/>
  <c r="AY31" i="2"/>
  <c r="AX31" i="2"/>
  <c r="AW31" i="2"/>
  <c r="AV31" i="2"/>
  <c r="AU31" i="2"/>
  <c r="AT31" i="2"/>
  <c r="AS31" i="2"/>
  <c r="AR31" i="2"/>
  <c r="AQ31" i="2"/>
  <c r="AP31" i="2"/>
  <c r="AO31" i="2"/>
  <c r="AN31" i="2"/>
  <c r="AM31" i="2"/>
  <c r="AL31" i="2"/>
  <c r="AK31" i="2"/>
  <c r="AJ31" i="2"/>
  <c r="AI31" i="2"/>
  <c r="AH31" i="2"/>
  <c r="AG31" i="2"/>
  <c r="AF31" i="2"/>
  <c r="AE31" i="2"/>
  <c r="AD31" i="2"/>
  <c r="AC31" i="2"/>
  <c r="AB31" i="2"/>
  <c r="AA31" i="2"/>
  <c r="Z31" i="2"/>
  <c r="Y31" i="2"/>
  <c r="X31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CH34" i="2"/>
  <c r="CG34" i="2"/>
  <c r="CF34" i="2"/>
  <c r="CE34" i="2"/>
  <c r="CD34" i="2"/>
  <c r="CC34" i="2"/>
  <c r="CB34" i="2"/>
  <c r="CA34" i="2"/>
  <c r="BZ34" i="2"/>
  <c r="BY34" i="2"/>
  <c r="BX34" i="2"/>
  <c r="BW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BD34" i="2"/>
  <c r="BC34" i="2"/>
  <c r="BB34" i="2"/>
  <c r="BA34" i="2"/>
  <c r="AZ34" i="2"/>
  <c r="AY34" i="2"/>
  <c r="AX34" i="2"/>
  <c r="AW34" i="2"/>
  <c r="AV34" i="2"/>
  <c r="AU34" i="2"/>
  <c r="AT34" i="2"/>
  <c r="AS34" i="2"/>
  <c r="AR34" i="2"/>
  <c r="AQ34" i="2"/>
  <c r="AP34" i="2"/>
  <c r="AO34" i="2"/>
  <c r="AN34" i="2"/>
  <c r="AM34" i="2"/>
  <c r="AL34" i="2"/>
  <c r="AK34" i="2"/>
  <c r="AJ34" i="2"/>
  <c r="AI34" i="2"/>
  <c r="AH34" i="2"/>
  <c r="AG34" i="2"/>
  <c r="AF34" i="2"/>
  <c r="AE34" i="2"/>
  <c r="AD34" i="2"/>
  <c r="AC34" i="2"/>
  <c r="AB34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CH37" i="2"/>
  <c r="CG37" i="2"/>
  <c r="CF37" i="2"/>
  <c r="CE37" i="2"/>
  <c r="CD37" i="2"/>
  <c r="CC37" i="2"/>
  <c r="CB37" i="2"/>
  <c r="CA37" i="2"/>
  <c r="BZ37" i="2"/>
  <c r="BY37" i="2"/>
  <c r="BX37" i="2"/>
  <c r="BW37" i="2"/>
  <c r="BV37" i="2"/>
  <c r="BU37" i="2"/>
  <c r="BT37" i="2"/>
  <c r="BS37" i="2"/>
  <c r="BR37" i="2"/>
  <c r="BQ37" i="2"/>
  <c r="BP37" i="2"/>
  <c r="BO37" i="2"/>
  <c r="BN37" i="2"/>
  <c r="BM37" i="2"/>
  <c r="BL37" i="2"/>
  <c r="BK37" i="2"/>
  <c r="BJ37" i="2"/>
  <c r="BI37" i="2"/>
  <c r="BH37" i="2"/>
  <c r="BG37" i="2"/>
  <c r="BF37" i="2"/>
  <c r="BE37" i="2"/>
  <c r="BD37" i="2"/>
  <c r="BC37" i="2"/>
  <c r="BB37" i="2"/>
  <c r="BA37" i="2"/>
  <c r="AZ37" i="2"/>
  <c r="AY37" i="2"/>
  <c r="AX37" i="2"/>
  <c r="AW37" i="2"/>
  <c r="AV37" i="2"/>
  <c r="AU37" i="2"/>
  <c r="AT37" i="2"/>
  <c r="AS37" i="2"/>
  <c r="AR37" i="2"/>
  <c r="AQ37" i="2"/>
  <c r="AP37" i="2"/>
  <c r="AO37" i="2"/>
  <c r="AN37" i="2"/>
  <c r="AM37" i="2"/>
  <c r="AL37" i="2"/>
  <c r="AK37" i="2"/>
  <c r="AJ37" i="2"/>
  <c r="AI37" i="2"/>
  <c r="AH37" i="2"/>
  <c r="AG37" i="2"/>
  <c r="AF37" i="2"/>
  <c r="AE37" i="2"/>
  <c r="AD37" i="2"/>
  <c r="AC37" i="2"/>
  <c r="AB37" i="2"/>
  <c r="AA37" i="2"/>
  <c r="Z37" i="2"/>
  <c r="Y37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CH40" i="2"/>
  <c r="CG40" i="2"/>
  <c r="CF40" i="2"/>
  <c r="CE40" i="2"/>
  <c r="CD40" i="2"/>
  <c r="CC40" i="2"/>
  <c r="CB40" i="2"/>
  <c r="CA40" i="2"/>
  <c r="BZ40" i="2"/>
  <c r="BY40" i="2"/>
  <c r="BX40" i="2"/>
  <c r="BW40" i="2"/>
  <c r="BV40" i="2"/>
  <c r="BU40" i="2"/>
  <c r="BT40" i="2"/>
  <c r="BS40" i="2"/>
  <c r="BR40" i="2"/>
  <c r="BQ40" i="2"/>
  <c r="BP40" i="2"/>
  <c r="BO40" i="2"/>
  <c r="BN40" i="2"/>
  <c r="BM40" i="2"/>
  <c r="BL40" i="2"/>
  <c r="BK40" i="2"/>
  <c r="BJ40" i="2"/>
  <c r="BI40" i="2"/>
  <c r="BH40" i="2"/>
  <c r="BG40" i="2"/>
  <c r="BF40" i="2"/>
  <c r="BE40" i="2"/>
  <c r="BD40" i="2"/>
  <c r="BC40" i="2"/>
  <c r="BB40" i="2"/>
  <c r="BA40" i="2"/>
  <c r="AZ40" i="2"/>
  <c r="AY40" i="2"/>
  <c r="AX40" i="2"/>
  <c r="AW40" i="2"/>
  <c r="AV40" i="2"/>
  <c r="AU40" i="2"/>
  <c r="AT40" i="2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CH43" i="2"/>
  <c r="CG43" i="2"/>
  <c r="CF43" i="2"/>
  <c r="CE43" i="2"/>
  <c r="CD43" i="2"/>
  <c r="CC43" i="2"/>
  <c r="CB43" i="2"/>
  <c r="CA43" i="2"/>
  <c r="BZ43" i="2"/>
  <c r="BY43" i="2"/>
  <c r="BX43" i="2"/>
  <c r="BW43" i="2"/>
  <c r="BV43" i="2"/>
  <c r="BU43" i="2"/>
  <c r="BT43" i="2"/>
  <c r="BS43" i="2"/>
  <c r="BR43" i="2"/>
  <c r="BQ43" i="2"/>
  <c r="BP43" i="2"/>
  <c r="BO43" i="2"/>
  <c r="BN43" i="2"/>
  <c r="BM43" i="2"/>
  <c r="BL43" i="2"/>
  <c r="BK43" i="2"/>
  <c r="BJ43" i="2"/>
  <c r="BI43" i="2"/>
  <c r="BH43" i="2"/>
  <c r="BG43" i="2"/>
  <c r="BF43" i="2"/>
  <c r="BE43" i="2"/>
  <c r="BD43" i="2"/>
  <c r="BC43" i="2"/>
  <c r="BB43" i="2"/>
  <c r="BA43" i="2"/>
  <c r="AZ43" i="2"/>
  <c r="AY43" i="2"/>
  <c r="AX43" i="2"/>
  <c r="AW43" i="2"/>
  <c r="AV43" i="2"/>
  <c r="AU43" i="2"/>
  <c r="AT43" i="2"/>
  <c r="AS43" i="2"/>
  <c r="AR43" i="2"/>
  <c r="AQ43" i="2"/>
  <c r="AP43" i="2"/>
  <c r="AO43" i="2"/>
  <c r="AN43" i="2"/>
  <c r="AM43" i="2"/>
  <c r="AL43" i="2"/>
  <c r="AK43" i="2"/>
  <c r="AJ43" i="2"/>
  <c r="AI43" i="2"/>
  <c r="AH43" i="2"/>
  <c r="AG43" i="2"/>
  <c r="AF43" i="2"/>
  <c r="AE43" i="2"/>
  <c r="AD43" i="2"/>
  <c r="AC43" i="2"/>
  <c r="AB43" i="2"/>
  <c r="AA43" i="2"/>
  <c r="Z43" i="2"/>
  <c r="Y43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CH46" i="2"/>
  <c r="CG46" i="2"/>
  <c r="CF46" i="2"/>
  <c r="CE46" i="2"/>
  <c r="CD46" i="2"/>
  <c r="CC46" i="2"/>
  <c r="CB46" i="2"/>
  <c r="CA46" i="2"/>
  <c r="BZ46" i="2"/>
  <c r="BY46" i="2"/>
  <c r="BX46" i="2"/>
  <c r="BW46" i="2"/>
  <c r="BV46" i="2"/>
  <c r="BU46" i="2"/>
  <c r="BT46" i="2"/>
  <c r="BS46" i="2"/>
  <c r="BR46" i="2"/>
  <c r="BQ46" i="2"/>
  <c r="BP46" i="2"/>
  <c r="BO46" i="2"/>
  <c r="BN46" i="2"/>
  <c r="BM46" i="2"/>
  <c r="BL46" i="2"/>
  <c r="BK46" i="2"/>
  <c r="BJ46" i="2"/>
  <c r="BI46" i="2"/>
  <c r="BH46" i="2"/>
  <c r="BG46" i="2"/>
  <c r="BF46" i="2"/>
  <c r="BE46" i="2"/>
  <c r="BD46" i="2"/>
  <c r="BC46" i="2"/>
  <c r="BB46" i="2"/>
  <c r="BA46" i="2"/>
  <c r="AZ46" i="2"/>
  <c r="AY46" i="2"/>
  <c r="AX46" i="2"/>
  <c r="AW46" i="2"/>
  <c r="AV46" i="2"/>
  <c r="AU46" i="2"/>
  <c r="AT46" i="2"/>
  <c r="AS46" i="2"/>
  <c r="AR46" i="2"/>
  <c r="AQ46" i="2"/>
  <c r="AP46" i="2"/>
  <c r="AO46" i="2"/>
  <c r="AN46" i="2"/>
  <c r="AM46" i="2"/>
  <c r="AL46" i="2"/>
  <c r="AK46" i="2"/>
  <c r="AJ46" i="2"/>
  <c r="AI46" i="2"/>
  <c r="AH46" i="2"/>
  <c r="AG46" i="2"/>
  <c r="AF46" i="2"/>
  <c r="AE46" i="2"/>
  <c r="AD46" i="2"/>
  <c r="AC46" i="2"/>
  <c r="AB46" i="2"/>
  <c r="AA46" i="2"/>
  <c r="Z46" i="2"/>
  <c r="Y46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CH49" i="2"/>
  <c r="CG49" i="2"/>
  <c r="CF49" i="2"/>
  <c r="CE49" i="2"/>
  <c r="CD49" i="2"/>
  <c r="CC49" i="2"/>
  <c r="CB49" i="2"/>
  <c r="CA49" i="2"/>
  <c r="BZ49" i="2"/>
  <c r="BY49" i="2"/>
  <c r="BX49" i="2"/>
  <c r="BW49" i="2"/>
  <c r="BV49" i="2"/>
  <c r="BU49" i="2"/>
  <c r="BT49" i="2"/>
  <c r="BS49" i="2"/>
  <c r="BR49" i="2"/>
  <c r="BQ49" i="2"/>
  <c r="BP49" i="2"/>
  <c r="BO49" i="2"/>
  <c r="BN49" i="2"/>
  <c r="BM49" i="2"/>
  <c r="BL49" i="2"/>
  <c r="BK49" i="2"/>
  <c r="BJ49" i="2"/>
  <c r="BI49" i="2"/>
  <c r="BH49" i="2"/>
  <c r="BG49" i="2"/>
  <c r="BF49" i="2"/>
  <c r="BE49" i="2"/>
  <c r="BD49" i="2"/>
  <c r="BC49" i="2"/>
  <c r="BB49" i="2"/>
  <c r="BA49" i="2"/>
  <c r="AZ49" i="2"/>
  <c r="AY49" i="2"/>
  <c r="AX49" i="2"/>
  <c r="AW49" i="2"/>
  <c r="AV49" i="2"/>
  <c r="AU49" i="2"/>
  <c r="AT49" i="2"/>
  <c r="AS49" i="2"/>
  <c r="AR49" i="2"/>
  <c r="AQ49" i="2"/>
  <c r="AP49" i="2"/>
  <c r="AO49" i="2"/>
  <c r="AN49" i="2"/>
  <c r="AM49" i="2"/>
  <c r="AL49" i="2"/>
  <c r="AK49" i="2"/>
  <c r="AJ49" i="2"/>
  <c r="AI49" i="2"/>
  <c r="AH49" i="2"/>
  <c r="AG49" i="2"/>
  <c r="AF49" i="2"/>
  <c r="AE49" i="2"/>
  <c r="AD49" i="2"/>
  <c r="AC49" i="2"/>
  <c r="AB49" i="2"/>
  <c r="AA49" i="2"/>
  <c r="Z49" i="2"/>
  <c r="Y49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CH52" i="2"/>
  <c r="CG52" i="2"/>
  <c r="CF52" i="2"/>
  <c r="CE52" i="2"/>
  <c r="CD52" i="2"/>
  <c r="CC52" i="2"/>
  <c r="CB52" i="2"/>
  <c r="CA52" i="2"/>
  <c r="BZ52" i="2"/>
  <c r="BY52" i="2"/>
  <c r="BX52" i="2"/>
  <c r="BW52" i="2"/>
  <c r="BV52" i="2"/>
  <c r="BU52" i="2"/>
  <c r="BT52" i="2"/>
  <c r="BS52" i="2"/>
  <c r="BR52" i="2"/>
  <c r="BQ52" i="2"/>
  <c r="BP52" i="2"/>
  <c r="BO52" i="2"/>
  <c r="BN52" i="2"/>
  <c r="BM52" i="2"/>
  <c r="BL52" i="2"/>
  <c r="BK52" i="2"/>
  <c r="BJ52" i="2"/>
  <c r="BI52" i="2"/>
  <c r="BH52" i="2"/>
  <c r="BG52" i="2"/>
  <c r="BF52" i="2"/>
  <c r="BE52" i="2"/>
  <c r="BD52" i="2"/>
  <c r="BC52" i="2"/>
  <c r="BB52" i="2"/>
  <c r="BA52" i="2"/>
  <c r="AZ52" i="2"/>
  <c r="AY52" i="2"/>
  <c r="AX52" i="2"/>
  <c r="AW52" i="2"/>
  <c r="AV52" i="2"/>
  <c r="AU52" i="2"/>
  <c r="AT52" i="2"/>
  <c r="AS52" i="2"/>
  <c r="AR52" i="2"/>
  <c r="AQ52" i="2"/>
  <c r="AP52" i="2"/>
  <c r="AO52" i="2"/>
  <c r="AN52" i="2"/>
  <c r="AM52" i="2"/>
  <c r="AL52" i="2"/>
  <c r="AK52" i="2"/>
  <c r="AJ52" i="2"/>
  <c r="AI52" i="2"/>
  <c r="AH52" i="2"/>
  <c r="AG52" i="2"/>
  <c r="AF52" i="2"/>
  <c r="AE52" i="2"/>
  <c r="AD52" i="2"/>
  <c r="AC52" i="2"/>
  <c r="AB52" i="2"/>
  <c r="AA52" i="2"/>
  <c r="Z52" i="2"/>
  <c r="Y52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T27" i="7" a="1"/>
  <c r="T27" i="7" s="1"/>
  <c r="A6" i="7" a="1"/>
  <c r="A6" i="7" s="1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B15" i="7" a="1"/>
  <c r="B15" i="7" s="1"/>
  <c r="B16" i="7" a="1"/>
  <c r="B16" i="7" s="1"/>
  <c r="B17" i="7" a="1"/>
  <c r="B17" i="7" s="1"/>
  <c r="B18" i="7" a="1"/>
  <c r="B18" i="7" s="1"/>
  <c r="B19" i="7" a="1"/>
  <c r="B19" i="7" s="1"/>
  <c r="B20" i="7" a="1"/>
  <c r="B20" i="7" s="1"/>
  <c r="B21" i="7" a="1"/>
  <c r="B21" i="7" s="1"/>
  <c r="B22" i="7" a="1"/>
  <c r="B22" i="7" s="1"/>
  <c r="B23" i="7" a="1"/>
  <c r="B23" i="7" s="1"/>
  <c r="B24" i="7" a="1"/>
  <c r="B24" i="7" s="1"/>
  <c r="B25" i="7" a="1"/>
  <c r="B25" i="7" s="1"/>
  <c r="B26" i="7" a="1"/>
  <c r="B26" i="7" s="1"/>
  <c r="B27" i="7" a="1"/>
  <c r="B27" i="7" s="1"/>
  <c r="B28" i="7" a="1"/>
  <c r="B28" i="7" s="1"/>
  <c r="B29" i="7" a="1"/>
  <c r="B29" i="7" s="1"/>
  <c r="B30" i="7" a="1"/>
  <c r="B30" i="7" s="1"/>
  <c r="B31" i="7" a="1"/>
  <c r="B31" i="7" s="1"/>
  <c r="B32" i="7" a="1"/>
  <c r="B32" i="7" s="1"/>
  <c r="B33" i="7" a="1"/>
  <c r="B33" i="7" s="1"/>
  <c r="B34" i="7" a="1"/>
  <c r="B34" i="7" s="1"/>
  <c r="B35" i="7" a="1"/>
  <c r="B35" i="7" s="1"/>
  <c r="B36" i="7" a="1"/>
  <c r="B36" i="7" s="1"/>
  <c r="B37" i="7" a="1"/>
  <c r="B37" i="7" s="1"/>
  <c r="B38" i="7" a="1"/>
  <c r="B38" i="7" s="1"/>
  <c r="B39" i="7" a="1"/>
  <c r="B39" i="7" s="1"/>
  <c r="B40" i="7" a="1"/>
  <c r="B40" i="7" s="1"/>
  <c r="B41" i="7" a="1"/>
  <c r="B41" i="7" s="1"/>
  <c r="B42" i="7" a="1"/>
  <c r="B42" i="7" s="1"/>
  <c r="B43" i="7" a="1"/>
  <c r="B43" i="7" s="1"/>
  <c r="B44" i="7" a="1"/>
  <c r="B44" i="7" s="1"/>
  <c r="B45" i="7" a="1"/>
  <c r="B45" i="7" s="1"/>
  <c r="B46" i="7" a="1"/>
  <c r="B46" i="7" s="1"/>
  <c r="B47" i="7" a="1"/>
  <c r="B47" i="7" s="1"/>
  <c r="B48" i="7" a="1"/>
  <c r="B48" i="7" s="1"/>
  <c r="B49" i="7" a="1"/>
  <c r="B49" i="7" s="1"/>
  <c r="B50" i="7" a="1"/>
  <c r="B50" i="7" s="1"/>
  <c r="B51" i="7" a="1"/>
  <c r="B51" i="7" s="1"/>
  <c r="B52" i="7" a="1"/>
  <c r="B52" i="7" s="1"/>
  <c r="B53" i="7" a="1"/>
  <c r="B53" i="7" s="1"/>
  <c r="B54" i="7" a="1"/>
  <c r="B54" i="7" s="1"/>
  <c r="B55" i="7" a="1"/>
  <c r="B55" i="7" s="1"/>
  <c r="B56" i="7" a="1"/>
  <c r="B56" i="7" s="1"/>
  <c r="B57" i="7" a="1"/>
  <c r="B57" i="7" s="1"/>
  <c r="B58" i="7" a="1"/>
  <c r="B58" i="7" s="1"/>
  <c r="B59" i="7" a="1"/>
  <c r="B59" i="7" s="1"/>
  <c r="B60" i="7" a="1"/>
  <c r="B60" i="7" s="1"/>
  <c r="B61" i="7" a="1"/>
  <c r="B61" i="7" s="1"/>
  <c r="B62" i="7" a="1"/>
  <c r="B62" i="7" s="1"/>
  <c r="B63" i="7" a="1"/>
  <c r="B63" i="7" s="1"/>
  <c r="B64" i="7" a="1"/>
  <c r="B64" i="7" s="1"/>
  <c r="B65" i="7" a="1"/>
  <c r="B65" i="7" s="1"/>
  <c r="B66" i="7" a="1"/>
  <c r="B66" i="7" s="1"/>
  <c r="B67" i="7" a="1"/>
  <c r="B67" i="7" s="1"/>
  <c r="B68" i="7" a="1"/>
  <c r="B68" i="7" s="1"/>
  <c r="B69" i="7" a="1"/>
  <c r="B69" i="7" s="1"/>
  <c r="B70" i="7" a="1"/>
  <c r="B70" i="7" s="1"/>
  <c r="B71" i="7" a="1"/>
  <c r="B71" i="7" s="1"/>
  <c r="B72" i="7" a="1"/>
  <c r="B72" i="7" s="1"/>
  <c r="B73" i="7" a="1"/>
  <c r="B73" i="7" s="1"/>
  <c r="B74" i="7" a="1"/>
  <c r="B74" i="7" s="1"/>
  <c r="B75" i="7" a="1"/>
  <c r="B75" i="7" s="1"/>
  <c r="B76" i="7" a="1"/>
  <c r="B76" i="7" s="1"/>
  <c r="B77" i="7" a="1"/>
  <c r="B77" i="7" s="1"/>
  <c r="B78" i="7" a="1"/>
  <c r="B78" i="7" s="1"/>
  <c r="B79" i="7" a="1"/>
  <c r="B79" i="7" s="1"/>
  <c r="B80" i="7" a="1"/>
  <c r="B80" i="7" s="1"/>
  <c r="B81" i="7" a="1"/>
  <c r="B81" i="7" s="1"/>
  <c r="B82" i="7" a="1"/>
  <c r="B82" i="7" s="1"/>
  <c r="B83" i="7" a="1"/>
  <c r="B83" i="7" s="1"/>
  <c r="B84" i="7" a="1"/>
  <c r="B84" i="7" s="1"/>
  <c r="B85" i="7" a="1"/>
  <c r="B85" i="7" s="1"/>
  <c r="B86" i="7" a="1"/>
  <c r="B86" i="7" s="1"/>
  <c r="B87" i="7" a="1"/>
  <c r="B87" i="7" s="1"/>
  <c r="B88" i="7" a="1"/>
  <c r="B88" i="7" s="1"/>
  <c r="B89" i="7" a="1"/>
  <c r="B89" i="7" s="1"/>
  <c r="B90" i="7" a="1"/>
  <c r="B90" i="7" s="1"/>
  <c r="B91" i="7" a="1"/>
  <c r="B91" i="7" s="1"/>
  <c r="B92" i="7" a="1"/>
  <c r="B92" i="7" s="1"/>
  <c r="B93" i="7" a="1"/>
  <c r="B93" i="7" s="1"/>
  <c r="B94" i="7" a="1"/>
  <c r="B94" i="7" s="1"/>
  <c r="B95" i="7" a="1"/>
  <c r="B95" i="7" s="1"/>
  <c r="B96" i="7" a="1"/>
  <c r="B96" i="7" s="1"/>
  <c r="B97" i="7" a="1"/>
  <c r="B97" i="7" s="1"/>
  <c r="U34" i="7" l="1"/>
  <c r="U125" i="7"/>
  <c r="U109" i="7"/>
  <c r="U124" i="7"/>
  <c r="U116" i="7"/>
  <c r="U108" i="7"/>
  <c r="U100" i="7"/>
  <c r="U117" i="7"/>
  <c r="U101" i="7"/>
  <c r="U123" i="7"/>
  <c r="U115" i="7"/>
  <c r="U107" i="7"/>
  <c r="U99" i="7"/>
  <c r="U121" i="7"/>
  <c r="U113" i="7"/>
  <c r="U105" i="7"/>
  <c r="U122" i="7"/>
  <c r="U128" i="7"/>
  <c r="U120" i="7"/>
  <c r="U112" i="7"/>
  <c r="U104" i="7"/>
  <c r="U106" i="7"/>
  <c r="U127" i="7"/>
  <c r="U119" i="7"/>
  <c r="U111" i="7"/>
  <c r="U103" i="7"/>
  <c r="U114" i="7"/>
  <c r="U126" i="7"/>
  <c r="U118" i="7"/>
  <c r="U110" i="7"/>
  <c r="U102" i="7"/>
  <c r="U55" i="7"/>
  <c r="U86" i="7"/>
  <c r="U70" i="7"/>
  <c r="U54" i="7"/>
  <c r="U38" i="7"/>
  <c r="U87" i="7"/>
  <c r="U39" i="7"/>
  <c r="U85" i="7"/>
  <c r="U69" i="7"/>
  <c r="U53" i="7"/>
  <c r="U37" i="7"/>
  <c r="U71" i="7"/>
  <c r="U98" i="7"/>
  <c r="U82" i="7"/>
  <c r="U66" i="7"/>
  <c r="U50" i="7"/>
  <c r="U95" i="7"/>
  <c r="U79" i="7"/>
  <c r="U63" i="7"/>
  <c r="U47" i="7"/>
  <c r="U94" i="7"/>
  <c r="U78" i="7"/>
  <c r="U62" i="7"/>
  <c r="U46" i="7"/>
  <c r="U93" i="7"/>
  <c r="U77" i="7"/>
  <c r="U61" i="7"/>
  <c r="U45" i="7"/>
  <c r="U90" i="7"/>
  <c r="U74" i="7"/>
  <c r="U58" i="7"/>
  <c r="U42" i="7"/>
  <c r="U92" i="7"/>
  <c r="U84" i="7"/>
  <c r="U76" i="7"/>
  <c r="U68" i="7"/>
  <c r="U60" i="7"/>
  <c r="U52" i="7"/>
  <c r="U44" i="7"/>
  <c r="U36" i="7"/>
  <c r="U91" i="7"/>
  <c r="U83" i="7"/>
  <c r="U75" i="7"/>
  <c r="U67" i="7"/>
  <c r="U59" i="7"/>
  <c r="U51" i="7"/>
  <c r="U43" i="7"/>
  <c r="U97" i="7"/>
  <c r="U89" i="7"/>
  <c r="U81" i="7"/>
  <c r="U73" i="7"/>
  <c r="U65" i="7"/>
  <c r="U57" i="7"/>
  <c r="U49" i="7"/>
  <c r="U41" i="7"/>
  <c r="U96" i="7"/>
  <c r="U88" i="7"/>
  <c r="U80" i="7"/>
  <c r="U72" i="7"/>
  <c r="U64" i="7"/>
  <c r="U56" i="7"/>
  <c r="U48" i="7"/>
  <c r="U40" i="7"/>
  <c r="D8" i="7"/>
  <c r="B9" i="7" a="1"/>
  <c r="B9" i="7" s="1"/>
  <c r="U35" i="7"/>
  <c r="D14" i="7"/>
  <c r="C14" i="7"/>
  <c r="B14" i="7" a="1"/>
  <c r="B14" i="7" s="1"/>
  <c r="C13" i="7"/>
  <c r="D13" i="7"/>
  <c r="C8" i="7"/>
  <c r="C7" i="7"/>
  <c r="D12" i="7"/>
  <c r="D7" i="7"/>
  <c r="C12" i="7"/>
  <c r="D11" i="7"/>
  <c r="C11" i="7"/>
  <c r="D10" i="7"/>
  <c r="C10" i="7"/>
  <c r="D9" i="7"/>
  <c r="C9" i="7"/>
  <c r="U27" i="7"/>
  <c r="U33" i="7"/>
  <c r="U32" i="7"/>
  <c r="U31" i="7"/>
  <c r="U30" i="7"/>
  <c r="U29" i="7"/>
  <c r="U28" i="7"/>
  <c r="C6" i="7"/>
  <c r="B13" i="7" a="1"/>
  <c r="B13" i="7" s="1"/>
  <c r="B12" i="7" a="1"/>
  <c r="B12" i="7" s="1"/>
  <c r="B10" i="7" a="1"/>
  <c r="B10" i="7" s="1"/>
  <c r="B11" i="7" a="1"/>
  <c r="B11" i="7" s="1"/>
  <c r="B8" i="7" a="1"/>
  <c r="B8" i="7" s="1"/>
  <c r="B7" i="7" a="1"/>
  <c r="B7" i="7" s="1"/>
  <c r="D6" i="7" l="1"/>
  <c r="B6" i="7" a="1"/>
  <c r="B6" i="7" s="1"/>
  <c r="D101" i="7" l="1"/>
  <c r="C101" i="7"/>
  <c r="B101" i="7"/>
  <c r="B100" i="7"/>
  <c r="B99" i="7"/>
  <c r="B98" i="7"/>
  <c r="ZS14" i="3" l="1"/>
  <c r="ZS13" i="3" s="1"/>
  <c r="ZW14" i="3"/>
  <c r="ZW13" i="3" s="1"/>
  <c r="ZS12" i="3" l="1"/>
  <c r="ZW1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<sst xmlns="http://schemas.openxmlformats.org/spreadsheetml/2006/main" count="632" uniqueCount="293">
  <si>
    <t>Roles Matrix</t>
  </si>
  <si>
    <t>Definitions</t>
  </si>
  <si>
    <t>Role Names</t>
  </si>
  <si>
    <t>Comments</t>
  </si>
  <si>
    <t>Skills Matrix</t>
  </si>
  <si>
    <t>Role</t>
  </si>
  <si>
    <t>Skill16</t>
  </si>
  <si>
    <t>Test3</t>
  </si>
  <si>
    <t>Group Average</t>
  </si>
  <si>
    <t>Gap Analysis</t>
  </si>
  <si>
    <t>0 - No knowledge gap</t>
  </si>
  <si>
    <t>Name</t>
  </si>
  <si>
    <t>Grade</t>
  </si>
  <si>
    <t>Team Average</t>
  </si>
  <si>
    <t>Select Employee</t>
  </si>
  <si>
    <t>Select Next Role</t>
  </si>
  <si>
    <t>Current Role</t>
  </si>
  <si>
    <t>Next Role</t>
  </si>
  <si>
    <t>Average Gap</t>
  </si>
  <si>
    <t>Version</t>
  </si>
  <si>
    <t>Author</t>
  </si>
  <si>
    <t>Description</t>
  </si>
  <si>
    <t>V1.0</t>
  </si>
  <si>
    <t xml:space="preserve">Phuong, Le Giang Nhat </t>
  </si>
  <si>
    <t>Creation document</t>
  </si>
  <si>
    <t>Step 1</t>
  </si>
  <si>
    <t>Step 2</t>
  </si>
  <si>
    <t>Attention</t>
  </si>
  <si>
    <t>Macro will automatically update data, undo is impossible so:
  - Backup your file before update
  - If there is any problem, quit file, don’t save</t>
  </si>
  <si>
    <t>Employee ID</t>
  </si>
  <si>
    <t>Head of Business Analysis</t>
  </si>
  <si>
    <t>Head of Information Security and Quality Assurance (CISO)</t>
  </si>
  <si>
    <t>Development and implementation</t>
  </si>
  <si>
    <t>DATS</t>
  </si>
  <si>
    <t>Data science</t>
  </si>
  <si>
    <t>DENG</t>
  </si>
  <si>
    <t>Data engineering</t>
  </si>
  <si>
    <t>Delivery and operation</t>
  </si>
  <si>
    <t>STMG</t>
  </si>
  <si>
    <t>Storage management</t>
  </si>
  <si>
    <t>Knowledge</t>
  </si>
  <si>
    <t>KNGE28</t>
  </si>
  <si>
    <t>Software Testing</t>
  </si>
  <si>
    <t>KNGE29</t>
  </si>
  <si>
    <t>System Administration &amp; Infrastructure</t>
  </si>
  <si>
    <t>Roles</t>
  </si>
  <si>
    <t>EndSkill</t>
  </si>
  <si>
    <t>StartSkill</t>
  </si>
  <si>
    <t>File Input</t>
  </si>
  <si>
    <t>StartRole</t>
  </si>
  <si>
    <t>StartEmployee</t>
  </si>
  <si>
    <t>Definitions
1 - Follow
2 - Assist
3 - Apply
4 - Enable
5 - Ensure, advise
6 - Initiate, influence
7- Set strategy, inspire, mobilise</t>
  </si>
  <si>
    <t>Step 3</t>
  </si>
  <si>
    <t>Artificial intelligence (AI) and data ethics</t>
  </si>
  <si>
    <t>AIDE</t>
  </si>
  <si>
    <t>Strategy and architecture</t>
  </si>
  <si>
    <t>Methods and tools</t>
  </si>
  <si>
    <t>METL</t>
  </si>
  <si>
    <t>Don't delete this column</t>
  </si>
  <si>
    <t>Don’t delete this row</t>
  </si>
  <si>
    <t>Employee average</t>
  </si>
  <si>
    <t>Nguyen A</t>
  </si>
  <si>
    <t>Current Skill</t>
  </si>
  <si>
    <t>Select Current Role</t>
  </si>
  <si>
    <t>Financial analysis</t>
  </si>
  <si>
    <t>FIAN</t>
  </si>
  <si>
    <t>Creativity</t>
  </si>
  <si>
    <t>CRTY</t>
  </si>
  <si>
    <t>Business skills/Behavioural factors</t>
  </si>
  <si>
    <t>Don't delete this row</t>
  </si>
  <si>
    <t>1 to 7 Small to high knowledge gap (4 being the highest)</t>
  </si>
  <si>
    <t>-1 to -7 Knows more than they need to know</t>
  </si>
  <si>
    <t>Step 4</t>
  </si>
  <si>
    <r>
      <t xml:space="preserve">Sheet </t>
    </r>
    <r>
      <rPr>
        <b/>
        <sz val="10"/>
        <rFont val="Arial"/>
        <family val="2"/>
      </rPr>
      <t>'Skills Matrix'</t>
    </r>
    <r>
      <rPr>
        <sz val="10"/>
        <rFont val="Arial"/>
        <family val="2"/>
      </rPr>
      <t xml:space="preserve">, click button </t>
    </r>
    <r>
      <rPr>
        <b/>
        <sz val="10"/>
        <rFont val="Arial"/>
        <family val="2"/>
      </rPr>
      <t>'Update Employee Skills'</t>
    </r>
    <r>
      <rPr>
        <sz val="10"/>
        <rFont val="Arial"/>
        <family val="2"/>
      </rPr>
      <t xml:space="preserve"> to get employee data form file 'Team Skill Profile'
 - If skill </t>
    </r>
    <r>
      <rPr>
        <b/>
        <sz val="10"/>
        <rFont val="Arial"/>
        <family val="2"/>
      </rPr>
      <t>existe</t>
    </r>
    <r>
      <rPr>
        <sz val="10"/>
        <rFont val="Arial"/>
        <family val="2"/>
      </rPr>
      <t xml:space="preserve"> in 'Skills Matrix' </t>
    </r>
    <r>
      <rPr>
        <b/>
        <sz val="10"/>
        <rFont val="Arial"/>
        <family val="2"/>
      </rPr>
      <t xml:space="preserve">with data </t>
    </r>
    <r>
      <rPr>
        <sz val="10"/>
        <rFont val="Arial"/>
        <family val="2"/>
      </rPr>
      <t xml:space="preserve">but </t>
    </r>
    <r>
      <rPr>
        <b/>
        <sz val="10"/>
        <rFont val="Arial"/>
        <family val="2"/>
      </rPr>
      <t>does not existe</t>
    </r>
    <r>
      <rPr>
        <sz val="10"/>
        <rFont val="Arial"/>
        <family val="2"/>
      </rPr>
      <t xml:space="preserve"> in 'Roles Matrix', it will be</t>
    </r>
    <r>
      <rPr>
        <b/>
        <sz val="10"/>
        <rFont val="Arial"/>
        <family val="2"/>
      </rPr>
      <t xml:space="preserve"> highlighted by color Red. </t>
    </r>
    <r>
      <rPr>
        <sz val="10"/>
        <rFont val="Arial"/>
        <family val="2"/>
      </rPr>
      <t>Conversely, it will be</t>
    </r>
    <r>
      <rPr>
        <b/>
        <sz val="10"/>
        <rFont val="Arial"/>
        <family val="2"/>
      </rPr>
      <t xml:space="preserve"> deleted.</t>
    </r>
  </si>
  <si>
    <r>
      <t xml:space="preserve">Sheet </t>
    </r>
    <r>
      <rPr>
        <b/>
        <sz val="10"/>
        <rFont val="Arial"/>
        <family val="2"/>
      </rPr>
      <t>'Gap Analysis'</t>
    </r>
    <r>
      <rPr>
        <sz val="10"/>
        <rFont val="Arial"/>
        <family val="2"/>
      </rPr>
      <t xml:space="preserve">, click button </t>
    </r>
    <r>
      <rPr>
        <b/>
        <sz val="10"/>
        <rFont val="Arial"/>
        <family val="2"/>
      </rPr>
      <t>'Calculate Gap'</t>
    </r>
    <r>
      <rPr>
        <sz val="10"/>
        <rFont val="Arial"/>
        <family val="2"/>
      </rPr>
      <t xml:space="preserve"> to calculate Gap data for Chart</t>
    </r>
  </si>
  <si>
    <t>Use Sheet 'Gap Analysis' and 'Chart Analysis' to analyze skill Gap for team member
Select Employee, Current Role, Next Role for chart</t>
  </si>
  <si>
    <t>V2.0</t>
  </si>
  <si>
    <t>Update Get data from 'Team Skill profite'</t>
  </si>
  <si>
    <t>Nguyen B</t>
  </si>
  <si>
    <t>Head of TECH</t>
  </si>
  <si>
    <t>Head of Engineering/Application Development</t>
  </si>
  <si>
    <t>Head of IT Service</t>
  </si>
  <si>
    <t>Head of Data Analytics and AI</t>
  </si>
  <si>
    <t>Head of Project Management Office</t>
  </si>
  <si>
    <t>Lead Solution Delivery (Manager/Agile Squad Lead)</t>
  </si>
  <si>
    <t>Lead Enterprise Architect (Manager)</t>
  </si>
  <si>
    <t>Lead Business Analyst (Manager)</t>
  </si>
  <si>
    <t>Lead Software Developer (Manager)</t>
  </si>
  <si>
    <t>Lead AI ML Developer (Manager)</t>
  </si>
  <si>
    <t>Lead Tester</t>
  </si>
  <si>
    <t>Lead DevOps Engineer</t>
  </si>
  <si>
    <t>Lead Systems Administration</t>
  </si>
  <si>
    <t>Lead Service Desk (Manager)</t>
  </si>
  <si>
    <t>Scrum Master (Coach)</t>
  </si>
  <si>
    <t>Lead Quality Assurance &amp; Information Security (Manager)</t>
  </si>
  <si>
    <t>Business Analyst</t>
  </si>
  <si>
    <t>Senior Business Analyst</t>
  </si>
  <si>
    <t>Software Developer</t>
  </si>
  <si>
    <t>Senior Software Developer</t>
  </si>
  <si>
    <t>AI ML Developer</t>
  </si>
  <si>
    <t>Senior AI ML Developer</t>
  </si>
  <si>
    <t>Enterprise Architect</t>
  </si>
  <si>
    <t>Tester</t>
  </si>
  <si>
    <t>Senior Tester</t>
  </si>
  <si>
    <t>DevOps Engineer</t>
  </si>
  <si>
    <t>Senior DevOps Engineer</t>
  </si>
  <si>
    <t>Data Engineer</t>
  </si>
  <si>
    <t>Senior Data Engineer</t>
  </si>
  <si>
    <t>Systems Administrator</t>
  </si>
  <si>
    <t>Senior Systems Administrator</t>
  </si>
  <si>
    <t xml:space="preserve">IT Help Desk </t>
  </si>
  <si>
    <t xml:space="preserve">Senior IT Help Desk </t>
  </si>
  <si>
    <t>IT Quality Assurance &amp; Information Security Specialist</t>
  </si>
  <si>
    <t>IT Admin</t>
  </si>
  <si>
    <t>Other</t>
  </si>
  <si>
    <t>Skill</t>
  </si>
  <si>
    <t>Team</t>
  </si>
  <si>
    <r>
      <t xml:space="preserve">Sheet </t>
    </r>
    <r>
      <rPr>
        <b/>
        <sz val="10"/>
        <rFont val="Arial"/>
        <family val="2"/>
      </rPr>
      <t>'Roles Matrix'</t>
    </r>
    <r>
      <rPr>
        <sz val="10"/>
        <rFont val="Arial"/>
        <family val="2"/>
      </rPr>
      <t xml:space="preserve">, click button </t>
    </r>
    <r>
      <rPr>
        <b/>
        <sz val="10"/>
        <rFont val="Arial"/>
        <family val="2"/>
      </rPr>
      <t>'Get Roles/Skills List'</t>
    </r>
    <r>
      <rPr>
        <sz val="10"/>
        <rFont val="Arial"/>
        <family val="2"/>
      </rPr>
      <t xml:space="preserve"> to get roles/skills data form file 'Team Skill Profile' (in Sharepoint)</t>
    </r>
  </si>
  <si>
    <t>Core Skills</t>
  </si>
  <si>
    <t>Optional Skills</t>
  </si>
  <si>
    <r>
      <t xml:space="preserve">Input File name of file </t>
    </r>
    <r>
      <rPr>
        <b/>
        <sz val="10"/>
        <rFont val="Arial"/>
        <family val="2"/>
      </rPr>
      <t>'Team Skill Profile' (in Sharepoint folder)</t>
    </r>
    <r>
      <rPr>
        <sz val="10"/>
        <rFont val="Arial"/>
        <family val="2"/>
      </rPr>
      <t xml:space="preserve"> into column </t>
    </r>
    <r>
      <rPr>
        <b/>
        <sz val="10"/>
        <rFont val="Arial"/>
        <family val="2"/>
      </rPr>
      <t>'File Input'</t>
    </r>
    <r>
      <rPr>
        <sz val="10"/>
        <rFont val="Arial"/>
        <family val="2"/>
      </rPr>
      <t xml:space="preserve"> of sheet </t>
    </r>
    <r>
      <rPr>
        <b/>
        <sz val="10"/>
        <rFont val="Arial"/>
        <family val="2"/>
      </rPr>
      <t>'Roles Matrix'</t>
    </r>
    <r>
      <rPr>
        <sz val="10"/>
        <rFont val="Arial"/>
        <family val="2"/>
      </rPr>
      <t>.</t>
    </r>
  </si>
  <si>
    <t>Team Skill Profile - Tech - Customer Service Systems - Anh Tai.xlsx</t>
  </si>
  <si>
    <t>Adaptability</t>
  </si>
  <si>
    <t>ADAP</t>
  </si>
  <si>
    <t>Collaboration</t>
  </si>
  <si>
    <t>COLL</t>
  </si>
  <si>
    <t>Communication</t>
  </si>
  <si>
    <t>COMM</t>
  </si>
  <si>
    <t>Decision-making</t>
  </si>
  <si>
    <t>DECM</t>
  </si>
  <si>
    <t>Digital mindset</t>
  </si>
  <si>
    <t>DIGI</t>
  </si>
  <si>
    <t>Improvement mindset</t>
  </si>
  <si>
    <t>IMPM</t>
  </si>
  <si>
    <t>Leadership</t>
  </si>
  <si>
    <t>LEAD</t>
  </si>
  <si>
    <t>Learning and development</t>
  </si>
  <si>
    <t>LADV</t>
  </si>
  <si>
    <t>Planning</t>
  </si>
  <si>
    <t>PLAN</t>
  </si>
  <si>
    <t>Problem-solving</t>
  </si>
  <si>
    <t>PROB</t>
  </si>
  <si>
    <t>Business modelling</t>
  </si>
  <si>
    <t>BSMO</t>
  </si>
  <si>
    <t>Change and transformation</t>
  </si>
  <si>
    <t>Business process improvement</t>
  </si>
  <si>
    <t>BPRE</t>
  </si>
  <si>
    <t>Business situation analysis</t>
  </si>
  <si>
    <t>BUSA</t>
  </si>
  <si>
    <t>Delivery management</t>
  </si>
  <si>
    <t>DEMG</t>
  </si>
  <si>
    <t>Feasibility assessment</t>
  </si>
  <si>
    <t>FEAS</t>
  </si>
  <si>
    <t>Job analysis and design</t>
  </si>
  <si>
    <t>JADN</t>
  </si>
  <si>
    <t>Organizational capability development</t>
  </si>
  <si>
    <t>OCDV</t>
  </si>
  <si>
    <t>Portfolio management</t>
  </si>
  <si>
    <t>POMG</t>
  </si>
  <si>
    <t>Portfolio, program and project support</t>
  </si>
  <si>
    <t>PROF</t>
  </si>
  <si>
    <t>Project management</t>
  </si>
  <si>
    <t>PRMG</t>
  </si>
  <si>
    <t>Requirements definition and management</t>
  </si>
  <si>
    <t>REQM</t>
  </si>
  <si>
    <t>User acceptance testing</t>
  </si>
  <si>
    <t>BPTS</t>
  </si>
  <si>
    <t>Knowledge about Business process</t>
  </si>
  <si>
    <t>KNGE18</t>
  </si>
  <si>
    <t>Context</t>
  </si>
  <si>
    <t>Knowledge about Systems</t>
  </si>
  <si>
    <t>KNGE17</t>
  </si>
  <si>
    <t>LOMA</t>
  </si>
  <si>
    <t>KNGE16</t>
  </si>
  <si>
    <t>Capacity management</t>
  </si>
  <si>
    <t>CPMG</t>
  </si>
  <si>
    <t>Incident management</t>
  </si>
  <si>
    <t>USUP</t>
  </si>
  <si>
    <t>Infrastructure operations</t>
  </si>
  <si>
    <t>ITOP</t>
  </si>
  <si>
    <t>Penetration testing</t>
  </si>
  <si>
    <t>PENT</t>
  </si>
  <si>
    <t>Problem management</t>
  </si>
  <si>
    <t>PBMG</t>
  </si>
  <si>
    <t>Release management</t>
  </si>
  <si>
    <t>RELM</t>
  </si>
  <si>
    <t>Service level management</t>
  </si>
  <si>
    <t>SLMO</t>
  </si>
  <si>
    <t>Technology service management</t>
  </si>
  <si>
    <t>ITMG</t>
  </si>
  <si>
    <t>Business intelligence</t>
  </si>
  <si>
    <t>BINT</t>
  </si>
  <si>
    <t>Customer experience</t>
  </si>
  <si>
    <t>CEXP</t>
  </si>
  <si>
    <t>Data visualization</t>
  </si>
  <si>
    <t>VISL</t>
  </si>
  <si>
    <t>Database design</t>
  </si>
  <si>
    <t>DBDS</t>
  </si>
  <si>
    <t>Functional testing</t>
  </si>
  <si>
    <t>TEST</t>
  </si>
  <si>
    <t>Knowledge management</t>
  </si>
  <si>
    <t>KNOW</t>
  </si>
  <si>
    <t>Process testing</t>
  </si>
  <si>
    <t>PRTS</t>
  </si>
  <si>
    <t>Programming/software development</t>
  </si>
  <si>
    <t>PROG</t>
  </si>
  <si>
    <t>Software design</t>
  </si>
  <si>
    <t>SWDN</t>
  </si>
  <si>
    <t>Systems and software lifecycle engineering</t>
  </si>
  <si>
    <t>SLEN</t>
  </si>
  <si>
    <t>User experience analysis</t>
  </si>
  <si>
    <t>UNAN</t>
  </si>
  <si>
    <t>Development &amp; Source Control</t>
  </si>
  <si>
    <t>KNGE30</t>
  </si>
  <si>
    <t>English</t>
  </si>
  <si>
    <t>KNGE38</t>
  </si>
  <si>
    <t>Modeling &amp; Process Analysis Methods</t>
  </si>
  <si>
    <t>KNGE25</t>
  </si>
  <si>
    <t>Requirement Management &amp; Documentation Methods</t>
  </si>
  <si>
    <t>KNGE26</t>
  </si>
  <si>
    <t>Requirements Elicitation &amp; Analysis Methods</t>
  </si>
  <si>
    <t>KNGE24</t>
  </si>
  <si>
    <t>Solution Evaluation &amp; Decision Methods</t>
  </si>
  <si>
    <t>KNGE27</t>
  </si>
  <si>
    <t>System &amp; Software Development Methods</t>
  </si>
  <si>
    <t>KNGE20</t>
  </si>
  <si>
    <t>Competency assessment</t>
  </si>
  <si>
    <t>LEDA</t>
  </si>
  <si>
    <t>People and skills</t>
  </si>
  <si>
    <t>Learning and development management</t>
  </si>
  <si>
    <t>ETMG</t>
  </si>
  <si>
    <t>Learning delivery</t>
  </si>
  <si>
    <t>ETDL</t>
  </si>
  <si>
    <t>Performance management</t>
  </si>
  <si>
    <t>PEMT</t>
  </si>
  <si>
    <t>Resourcing</t>
  </si>
  <si>
    <t>RESC</t>
  </si>
  <si>
    <t>Teaching</t>
  </si>
  <si>
    <t>TEAC</t>
  </si>
  <si>
    <t>Workforce planning</t>
  </si>
  <si>
    <t>WFPL</t>
  </si>
  <si>
    <t>Stakeholder relationship management</t>
  </si>
  <si>
    <t>RLMT</t>
  </si>
  <si>
    <t>Relationships and engagement</t>
  </si>
  <si>
    <t>Supplier management</t>
  </si>
  <si>
    <t>SUPP</t>
  </si>
  <si>
    <t>Benefits management</t>
  </si>
  <si>
    <t>BENM</t>
  </si>
  <si>
    <t>Cost management</t>
  </si>
  <si>
    <t>COMG</t>
  </si>
  <si>
    <t>Emerging technology monitoring</t>
  </si>
  <si>
    <t>EMRG</t>
  </si>
  <si>
    <t>Enterprise and business architecture</t>
  </si>
  <si>
    <t>STPL</t>
  </si>
  <si>
    <t>Innovation management</t>
  </si>
  <si>
    <t>INOV</t>
  </si>
  <si>
    <t>Risk management</t>
  </si>
  <si>
    <t>BURM</t>
  </si>
  <si>
    <t>Strategic planning</t>
  </si>
  <si>
    <t>ITSP</t>
  </si>
  <si>
    <t>C# / .NET</t>
  </si>
  <si>
    <t>KNGE3</t>
  </si>
  <si>
    <t>Technical Knowledge</t>
  </si>
  <si>
    <t>COBOL</t>
  </si>
  <si>
    <t>KNGE6</t>
  </si>
  <si>
    <t>HTML / CSS (with preprocessors &amp; libraries)</t>
  </si>
  <si>
    <t>KNGE2</t>
  </si>
  <si>
    <t>JAVA</t>
  </si>
  <si>
    <t>KNGE7</t>
  </si>
  <si>
    <t>JavaScript / TypeScript</t>
  </si>
  <si>
    <t>KNGE1</t>
  </si>
  <si>
    <t>PHP</t>
  </si>
  <si>
    <t>KNGE5</t>
  </si>
  <si>
    <t>SQL</t>
  </si>
  <si>
    <t>KNGE4</t>
  </si>
  <si>
    <t>Tech - Customer Service System</t>
  </si>
  <si>
    <t>Tran Anh Tai</t>
  </si>
  <si>
    <t>Assessment</t>
  </si>
  <si>
    <t>Huynh Thi Hoai Nhan</t>
  </si>
  <si>
    <t>Nguyen Thi Ngoc Hoa</t>
  </si>
  <si>
    <t>Tech - Distribution Administration System</t>
  </si>
  <si>
    <t>Nguyen Van Phuong</t>
  </si>
  <si>
    <t>Nguyen Quoc Dung</t>
  </si>
  <si>
    <t>Nguyen Ngoc Quy</t>
  </si>
  <si>
    <t>Pham Duy Nhat</t>
  </si>
  <si>
    <t>Pham Quang Due</t>
  </si>
  <si>
    <t>Dinh Pham Hoang Phuc </t>
  </si>
  <si>
    <t>Huynh Ngoc Thanh Tung </t>
  </si>
  <si>
    <t>Nguyen Tuan Anh </t>
  </si>
  <si>
    <t>Ta Anh Luan</t>
  </si>
  <si>
    <t>Le Thi Hoang Nga</t>
  </si>
  <si>
    <t>Standard</t>
  </si>
  <si>
    <t>Gap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</si>
</sst>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\-yy;@"/>
    <numFmt numFmtId="165" formatCode="0.0"/>
  </numFmts>
  <fonts count="24" x14ac:knownFonts="1">
    <font>
      <sz val="10"/>
      <name val="Arial"/>
    </font>
    <font>
      <b/>
      <sz val="8"/>
      <name val="Arial"/>
      <family val="2"/>
    </font>
    <font>
      <sz val="10"/>
      <name val="Tahoma"/>
      <family val="2"/>
    </font>
    <font>
      <sz val="8"/>
      <name val="Arial"/>
      <family val="2"/>
    </font>
    <font>
      <sz val="8"/>
      <name val="Arial"/>
      <family val="2"/>
    </font>
    <font>
      <sz val="9"/>
      <name val="Tahoma"/>
      <family val="2"/>
    </font>
    <font>
      <b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sz val="10"/>
      <name val="Arial Nova"/>
      <family val="2"/>
    </font>
    <font>
      <sz val="8"/>
      <name val="Arial Nova"/>
      <family val="2"/>
    </font>
    <font>
      <b/>
      <sz val="8"/>
      <name val="Arial Nova"/>
      <family val="2"/>
    </font>
    <font>
      <sz val="9"/>
      <name val="Arial Nova"/>
      <family val="2"/>
    </font>
    <font>
      <u/>
      <sz val="9"/>
      <color theme="10"/>
      <name val="Arial Nova"/>
      <family val="2"/>
    </font>
    <font>
      <b/>
      <u/>
      <sz val="9"/>
      <color rgb="FFF57D23"/>
      <name val="Arial Nova"/>
      <family val="2"/>
    </font>
    <font>
      <sz val="14"/>
      <name val="Arial Nova"/>
      <family val="2"/>
    </font>
    <font>
      <b/>
      <sz val="10"/>
      <color rgb="FFFF0000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b/>
      <u/>
      <sz val="9"/>
      <name val="Arial Nova"/>
      <family val="2"/>
    </font>
    <font>
      <b/>
      <sz val="10"/>
      <color rgb="FFFF0000"/>
      <name val="Arial Nova"/>
      <family val="2"/>
    </font>
    <font>
      <b/>
      <sz val="8"/>
      <color theme="1"/>
      <name val="Arial"/>
      <family val="2"/>
    </font>
    <font>
      <sz val="8"/>
      <color theme="0"/>
      <name val="Arial"/>
      <family val="2"/>
    </font>
    <font>
      <b/>
      <sz val="10"/>
      <name val="Arial Nova"/>
      <family val="2"/>
    </font>
  </fonts>
  <fills count="2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A5E9D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5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AD1DC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2">
    <xf numFmtId="0" fontId="0" fillId="0" borderId="0" xfId="0"/>
    <xf numFmtId="0" fontId="1" fillId="0" borderId="1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3" fillId="0" borderId="0" xfId="0" applyFont="1"/>
    <xf numFmtId="0" fontId="1" fillId="0" borderId="0" xfId="0" applyFont="1" applyAlignment="1">
      <alignment horizontal="right"/>
    </xf>
    <xf numFmtId="0" fontId="2" fillId="0" borderId="0" xfId="0" applyFont="1"/>
    <xf numFmtId="0" fontId="7" fillId="0" borderId="0" xfId="0" applyFont="1"/>
    <xf numFmtId="0" fontId="10" fillId="0" borderId="0" xfId="0" applyFont="1"/>
    <xf numFmtId="0" fontId="9" fillId="0" borderId="0" xfId="0" applyFont="1"/>
    <xf numFmtId="0" fontId="11" fillId="0" borderId="1" xfId="0" applyFont="1" applyBorder="1" applyAlignment="1">
      <alignment horizontal="left" wrapText="1"/>
    </xf>
    <xf numFmtId="0" fontId="11" fillId="0" borderId="0" xfId="0" applyFont="1" applyAlignment="1">
      <alignment horizontal="right"/>
    </xf>
    <xf numFmtId="0" fontId="12" fillId="0" borderId="0" xfId="0" applyFont="1"/>
    <xf numFmtId="0" fontId="13" fillId="0" borderId="0" xfId="1" applyFont="1" applyFill="1"/>
    <xf numFmtId="0" fontId="14" fillId="0" borderId="0" xfId="0" applyFont="1"/>
    <xf numFmtId="0" fontId="15" fillId="0" borderId="0" xfId="0" applyFont="1" applyAlignment="1">
      <alignment horizontal="center"/>
    </xf>
    <xf numFmtId="0" fontId="13" fillId="0" borderId="0" xfId="1" applyFont="1" applyFill="1" applyAlignment="1">
      <alignment horizontal="center" vertical="center" textRotation="90" wrapText="1"/>
    </xf>
    <xf numFmtId="0" fontId="3" fillId="3" borderId="0" xfId="0" applyFont="1" applyFill="1"/>
    <xf numFmtId="0" fontId="11" fillId="0" borderId="3" xfId="0" applyFont="1" applyBorder="1" applyAlignment="1">
      <alignment horizontal="left" wrapText="1"/>
    </xf>
    <xf numFmtId="0" fontId="1" fillId="0" borderId="1" xfId="0" applyFont="1" applyBorder="1" applyAlignment="1">
      <alignment horizontal="center" wrapText="1"/>
    </xf>
    <xf numFmtId="0" fontId="11" fillId="4" borderId="5" xfId="0" applyFont="1" applyFill="1" applyBorder="1" applyAlignment="1">
      <alignment horizontal="left"/>
    </xf>
    <xf numFmtId="0" fontId="11" fillId="4" borderId="6" xfId="0" applyFont="1" applyFill="1" applyBorder="1" applyAlignment="1">
      <alignment horizontal="left"/>
    </xf>
    <xf numFmtId="0" fontId="11" fillId="4" borderId="7" xfId="0" applyFont="1" applyFill="1" applyBorder="1" applyAlignment="1">
      <alignment horizontal="left"/>
    </xf>
    <xf numFmtId="0" fontId="10" fillId="4" borderId="2" xfId="0" applyFont="1" applyFill="1" applyBorder="1" applyAlignment="1">
      <alignment horizontal="left"/>
    </xf>
    <xf numFmtId="0" fontId="10" fillId="4" borderId="0" xfId="0" applyFont="1" applyFill="1" applyAlignment="1">
      <alignment horizontal="left"/>
    </xf>
    <xf numFmtId="0" fontId="10" fillId="4" borderId="8" xfId="0" applyFont="1" applyFill="1" applyBorder="1" applyAlignment="1">
      <alignment horizontal="left"/>
    </xf>
    <xf numFmtId="0" fontId="10" fillId="4" borderId="10" xfId="0" applyFont="1" applyFill="1" applyBorder="1" applyAlignment="1">
      <alignment horizontal="left"/>
    </xf>
    <xf numFmtId="0" fontId="10" fillId="4" borderId="11" xfId="0" applyFont="1" applyFill="1" applyBorder="1" applyAlignment="1">
      <alignment horizontal="left"/>
    </xf>
    <xf numFmtId="0" fontId="1" fillId="0" borderId="0" xfId="0" applyFont="1" applyAlignment="1">
      <alignment horizontal="center" wrapText="1"/>
    </xf>
    <xf numFmtId="0" fontId="0" fillId="6" borderId="1" xfId="0" applyFill="1" applyBorder="1"/>
    <xf numFmtId="0" fontId="3" fillId="0" borderId="14" xfId="0" applyFont="1" applyBorder="1"/>
    <xf numFmtId="0" fontId="0" fillId="0" borderId="14" xfId="0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10" fillId="7" borderId="15" xfId="0" applyFont="1" applyFill="1" applyBorder="1" applyAlignment="1">
      <alignment horizontal="center" textRotation="60"/>
    </xf>
    <xf numFmtId="0" fontId="5" fillId="2" borderId="0" xfId="0" applyFont="1" applyFill="1"/>
    <xf numFmtId="165" fontId="0" fillId="0" borderId="0" xfId="0" applyNumberFormat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0" fontId="0" fillId="0" borderId="14" xfId="0" applyBorder="1"/>
    <xf numFmtId="0" fontId="7" fillId="0" borderId="4" xfId="0" applyFont="1" applyBorder="1"/>
    <xf numFmtId="0" fontId="7" fillId="9" borderId="1" xfId="0" applyFont="1" applyFill="1" applyBorder="1"/>
    <xf numFmtId="0" fontId="7" fillId="0" borderId="14" xfId="0" applyFont="1" applyBorder="1"/>
    <xf numFmtId="0" fontId="7" fillId="0" borderId="14" xfId="0" applyFont="1" applyBorder="1" applyAlignment="1">
      <alignment wrapText="1"/>
    </xf>
    <xf numFmtId="0" fontId="7" fillId="0" borderId="16" xfId="0" applyFont="1" applyBorder="1" applyAlignment="1">
      <alignment wrapText="1"/>
    </xf>
    <xf numFmtId="0" fontId="7" fillId="0" borderId="1" xfId="0" applyFont="1" applyBorder="1"/>
    <xf numFmtId="0" fontId="11" fillId="0" borderId="0" xfId="0" applyFont="1" applyAlignment="1">
      <alignment horizontal="left" wrapText="1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7" fillId="0" borderId="0" xfId="0" applyFont="1" applyAlignment="1">
      <alignment horizontal="left" vertical="top" wrapText="1"/>
    </xf>
    <xf numFmtId="0" fontId="1" fillId="13" borderId="1" xfId="0" applyFont="1" applyFill="1" applyBorder="1"/>
    <xf numFmtId="164" fontId="11" fillId="0" borderId="1" xfId="0" applyNumberFormat="1" applyFont="1" applyBorder="1" applyAlignment="1">
      <alignment horizontal="center" textRotation="90"/>
    </xf>
    <xf numFmtId="164" fontId="11" fillId="10" borderId="1" xfId="0" applyNumberFormat="1" applyFont="1" applyFill="1" applyBorder="1" applyAlignment="1">
      <alignment horizontal="center" textRotation="90"/>
    </xf>
    <xf numFmtId="164" fontId="11" fillId="11" borderId="1" xfId="0" applyNumberFormat="1" applyFont="1" applyFill="1" applyBorder="1" applyAlignment="1">
      <alignment horizontal="center" textRotation="90"/>
    </xf>
    <xf numFmtId="164" fontId="11" fillId="12" borderId="1" xfId="0" applyNumberFormat="1" applyFont="1" applyFill="1" applyBorder="1" applyAlignment="1">
      <alignment horizontal="center" textRotation="90"/>
    </xf>
    <xf numFmtId="0" fontId="3" fillId="0" borderId="1" xfId="0" applyFont="1" applyBorder="1"/>
    <xf numFmtId="164" fontId="11" fillId="14" borderId="1" xfId="0" applyNumberFormat="1" applyFont="1" applyFill="1" applyBorder="1" applyAlignment="1">
      <alignment horizontal="center" textRotation="90"/>
    </xf>
    <xf numFmtId="0" fontId="1" fillId="0" borderId="14" xfId="0" applyFont="1" applyBorder="1" applyAlignment="1">
      <alignment horizontal="right"/>
    </xf>
    <xf numFmtId="0" fontId="19" fillId="3" borderId="14" xfId="0" applyFont="1" applyFill="1" applyBorder="1"/>
    <xf numFmtId="0" fontId="14" fillId="0" borderId="14" xfId="0" applyFont="1" applyBorder="1"/>
    <xf numFmtId="0" fontId="1" fillId="0" borderId="0" xfId="0" applyFont="1" applyAlignment="1">
      <alignment horizontal="left"/>
    </xf>
    <xf numFmtId="0" fontId="20" fillId="0" borderId="0" xfId="0" applyFont="1" applyAlignment="1">
      <alignment horizontal="center" textRotation="90"/>
    </xf>
    <xf numFmtId="0" fontId="20" fillId="0" borderId="10" xfId="0" applyFont="1" applyBorder="1" applyAlignment="1">
      <alignment horizontal="center" textRotation="90"/>
    </xf>
    <xf numFmtId="0" fontId="12" fillId="0" borderId="1" xfId="0" applyFont="1" applyBorder="1"/>
    <xf numFmtId="164" fontId="10" fillId="10" borderId="1" xfId="0" applyNumberFormat="1" applyFont="1" applyFill="1" applyBorder="1" applyAlignment="1">
      <alignment horizontal="center" textRotation="90"/>
    </xf>
    <xf numFmtId="164" fontId="10" fillId="11" borderId="1" xfId="0" applyNumberFormat="1" applyFont="1" applyFill="1" applyBorder="1" applyAlignment="1">
      <alignment horizontal="center" textRotation="90"/>
    </xf>
    <xf numFmtId="0" fontId="12" fillId="10" borderId="1" xfId="0" applyFont="1" applyFill="1" applyBorder="1"/>
    <xf numFmtId="0" fontId="1" fillId="0" borderId="0" xfId="0" applyFont="1" applyAlignment="1">
      <alignment horizontal="left" wrapText="1"/>
    </xf>
    <xf numFmtId="165" fontId="1" fillId="0" borderId="14" xfId="0" applyNumberFormat="1" applyFont="1" applyBorder="1" applyAlignment="1">
      <alignment horizontal="right"/>
    </xf>
    <xf numFmtId="0" fontId="1" fillId="0" borderId="12" xfId="0" applyFont="1" applyBorder="1" applyAlignment="1">
      <alignment horizontal="left" textRotation="90" wrapText="1"/>
    </xf>
    <xf numFmtId="164" fontId="10" fillId="0" borderId="1" xfId="0" applyNumberFormat="1" applyFont="1" applyBorder="1" applyAlignment="1">
      <alignment horizontal="center" textRotation="90"/>
    </xf>
    <xf numFmtId="0" fontId="12" fillId="0" borderId="1" xfId="0" applyFont="1" applyBorder="1" applyAlignment="1">
      <alignment vertical="center"/>
    </xf>
    <xf numFmtId="0" fontId="21" fillId="8" borderId="1" xfId="0" applyFont="1" applyFill="1" applyBorder="1" applyAlignment="1">
      <alignment horizontal="center" wrapText="1"/>
    </xf>
    <xf numFmtId="0" fontId="12" fillId="0" borderId="1" xfId="0" applyFont="1" applyBorder="1" applyAlignment="1">
      <alignment horizontal="center" vertical="center"/>
    </xf>
    <xf numFmtId="164" fontId="10" fillId="12" borderId="1" xfId="0" applyNumberFormat="1" applyFont="1" applyFill="1" applyBorder="1" applyAlignment="1">
      <alignment horizontal="center" textRotation="90"/>
    </xf>
    <xf numFmtId="164" fontId="10" fillId="14" borderId="1" xfId="0" applyNumberFormat="1" applyFont="1" applyFill="1" applyBorder="1" applyAlignment="1">
      <alignment horizontal="center" textRotation="90"/>
    </xf>
    <xf numFmtId="0" fontId="7" fillId="8" borderId="1" xfId="0" applyFont="1" applyFill="1" applyBorder="1"/>
    <xf numFmtId="0" fontId="6" fillId="0" borderId="0" xfId="0" applyFont="1"/>
    <xf numFmtId="0" fontId="6" fillId="5" borderId="1" xfId="0" applyFont="1" applyFill="1" applyBorder="1"/>
    <xf numFmtId="164" fontId="11" fillId="15" borderId="1" xfId="0" applyNumberFormat="1" applyFont="1" applyFill="1" applyBorder="1" applyAlignment="1">
      <alignment horizontal="center" textRotation="90"/>
    </xf>
    <xf numFmtId="164" fontId="10" fillId="15" borderId="1" xfId="0" applyNumberFormat="1" applyFont="1" applyFill="1" applyBorder="1" applyAlignment="1">
      <alignment horizontal="center" textRotation="90"/>
    </xf>
    <xf numFmtId="0" fontId="12" fillId="15" borderId="1" xfId="0" applyFont="1" applyFill="1" applyBorder="1"/>
    <xf numFmtId="0" fontId="20" fillId="0" borderId="0" xfId="0" applyFont="1"/>
    <xf numFmtId="0" fontId="3" fillId="0" borderId="0" xfId="0" applyFont="1" applyAlignment="1">
      <alignment vertical="top" wrapText="1"/>
    </xf>
    <xf numFmtId="0" fontId="10" fillId="4" borderId="9" xfId="0" quotePrefix="1" applyFont="1" applyFill="1" applyBorder="1" applyAlignment="1">
      <alignment horizontal="left"/>
    </xf>
    <xf numFmtId="0" fontId="16" fillId="0" borderId="1" xfId="0" applyFont="1" applyBorder="1"/>
    <xf numFmtId="0" fontId="8" fillId="0" borderId="0" xfId="1"/>
    <xf numFmtId="0" fontId="8" fillId="0" borderId="0" xfId="1" applyFill="1"/>
    <xf numFmtId="0" fontId="10" fillId="0" borderId="21" xfId="0" applyFont="1" applyBorder="1"/>
    <xf numFmtId="0" fontId="3" fillId="0" borderId="21" xfId="0" applyFont="1" applyBorder="1"/>
    <xf numFmtId="0" fontId="9" fillId="0" borderId="21" xfId="0" applyFont="1" applyBorder="1"/>
    <xf numFmtId="0" fontId="14" fillId="0" borderId="21" xfId="0" applyFont="1" applyBorder="1"/>
    <xf numFmtId="0" fontId="22" fillId="0" borderId="0" xfId="0" applyFont="1"/>
    <xf numFmtId="0" fontId="3" fillId="16" borderId="1" xfId="0" applyFont="1" applyFill="1" applyBorder="1"/>
    <xf numFmtId="0" fontId="3" fillId="17" borderId="1" xfId="0" applyFont="1" applyFill="1" applyBorder="1"/>
    <xf numFmtId="0" fontId="1" fillId="0" borderId="11" xfId="0" applyFont="1" applyBorder="1"/>
    <xf numFmtId="0" fontId="1" fillId="0" borderId="1" xfId="0" applyFont="1" applyBorder="1"/>
    <xf numFmtId="0" fontId="20" fillId="0" borderId="0" xfId="0" applyFont="1" applyAlignment="1">
      <alignment horizontal="center" textRotation="90"/>
    </xf>
    <xf numFmtId="0" fontId="20" fillId="0" borderId="10" xfId="0" applyFont="1" applyBorder="1" applyAlignment="1">
      <alignment horizontal="center" textRotation="90"/>
    </xf>
    <xf numFmtId="0" fontId="11" fillId="4" borderId="12" xfId="0" applyFont="1" applyFill="1" applyBorder="1" applyAlignment="1">
      <alignment horizontal="left" wrapText="1"/>
    </xf>
    <xf numFmtId="0" fontId="11" fillId="4" borderId="13" xfId="0" applyFont="1" applyFill="1" applyBorder="1" applyAlignment="1">
      <alignment horizontal="left" wrapText="1"/>
    </xf>
    <xf numFmtId="0" fontId="11" fillId="4" borderId="17" xfId="0" applyFont="1" applyFill="1" applyBorder="1" applyAlignment="1">
      <alignment horizontal="left" wrapText="1"/>
    </xf>
    <xf numFmtId="0" fontId="15" fillId="0" borderId="0" xfId="0" applyFont="1" applyAlignment="1">
      <alignment horizontal="center"/>
    </xf>
    <xf numFmtId="0" fontId="11" fillId="4" borderId="5" xfId="0" applyFont="1" applyFill="1" applyBorder="1" applyAlignment="1">
      <alignment horizontal="left" wrapText="1"/>
    </xf>
    <xf numFmtId="0" fontId="11" fillId="4" borderId="6" xfId="0" applyFont="1" applyFill="1" applyBorder="1" applyAlignment="1">
      <alignment horizontal="left" wrapText="1"/>
    </xf>
    <xf numFmtId="0" fontId="11" fillId="4" borderId="7" xfId="0" applyFont="1" applyFill="1" applyBorder="1" applyAlignment="1">
      <alignment horizontal="left" wrapText="1"/>
    </xf>
    <xf numFmtId="0" fontId="11" fillId="4" borderId="2" xfId="0" applyFont="1" applyFill="1" applyBorder="1" applyAlignment="1">
      <alignment horizontal="left" wrapText="1"/>
    </xf>
    <xf numFmtId="0" fontId="11" fillId="4" borderId="0" xfId="0" applyFont="1" applyFill="1" applyAlignment="1">
      <alignment horizontal="left" wrapText="1"/>
    </xf>
    <xf numFmtId="0" fontId="11" fillId="4" borderId="8" xfId="0" applyFont="1" applyFill="1" applyBorder="1" applyAlignment="1">
      <alignment horizontal="left" wrapText="1"/>
    </xf>
    <xf numFmtId="0" fontId="11" fillId="4" borderId="9" xfId="0" applyFont="1" applyFill="1" applyBorder="1" applyAlignment="1">
      <alignment horizontal="left" wrapText="1"/>
    </xf>
    <xf numFmtId="0" fontId="11" fillId="4" borderId="10" xfId="0" applyFont="1" applyFill="1" applyBorder="1" applyAlignment="1">
      <alignment horizontal="left" wrapText="1"/>
    </xf>
    <xf numFmtId="0" fontId="11" fillId="4" borderId="11" xfId="0" applyFont="1" applyFill="1" applyBorder="1" applyAlignment="1">
      <alignment horizontal="left" wrapText="1"/>
    </xf>
    <xf numFmtId="0" fontId="16" fillId="3" borderId="0" xfId="0" applyFont="1" applyFill="1" applyAlignment="1">
      <alignment horizontal="center"/>
    </xf>
    <xf numFmtId="0" fontId="16" fillId="3" borderId="18" xfId="0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2" fillId="11" borderId="3" xfId="0" applyFont="1" applyFill="1" applyBorder="1" applyAlignment="1">
      <alignment horizontal="center" vertical="center"/>
    </xf>
    <xf numFmtId="0" fontId="12" fillId="11" borderId="19" xfId="0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horizontal="center" vertical="center"/>
    </xf>
    <xf numFmtId="0" fontId="12" fillId="14" borderId="3" xfId="0" applyFont="1" applyFill="1" applyBorder="1" applyAlignment="1">
      <alignment horizontal="center" vertical="center"/>
    </xf>
    <xf numFmtId="0" fontId="12" fillId="14" borderId="20" xfId="0" applyFont="1" applyFill="1" applyBorder="1" applyAlignment="1">
      <alignment horizontal="center" vertical="center"/>
    </xf>
    <xf numFmtId="0" fontId="12" fillId="14" borderId="19" xfId="0" applyFont="1" applyFill="1" applyBorder="1" applyAlignment="1">
      <alignment horizontal="center" vertical="center"/>
    </xf>
    <xf numFmtId="164" fontId="11" fillId="18" borderId="1" xfId="0" applyNumberFormat="1" applyFont="1" applyFill="1" applyBorder="1" applyAlignment="1">
      <alignment horizontal="center" textRotation="90"/>
    </xf>
    <xf numFmtId="164" fontId="10" fillId="18" borderId="1" xfId="0" applyNumberFormat="1" applyFont="1" applyFill="1" applyBorder="1" applyAlignment="1">
      <alignment horizontal="center" textRotation="90"/>
    </xf>
    <xf numFmtId="164" fontId="11" fillId="19" borderId="1" xfId="0" applyNumberFormat="1" applyFont="1" applyFill="1" applyBorder="1" applyAlignment="1">
      <alignment horizontal="center" textRotation="90"/>
    </xf>
    <xf numFmtId="164" fontId="10" fillId="19" borderId="1" xfId="0" applyNumberFormat="1" applyFont="1" applyFill="1" applyBorder="1" applyAlignment="1">
      <alignment horizontal="center" textRotation="90"/>
    </xf>
    <xf numFmtId="164" fontId="11" fillId="20" borderId="1" xfId="0" applyNumberFormat="1" applyFont="1" applyFill="1" applyBorder="1" applyAlignment="1">
      <alignment horizontal="center" textRotation="90"/>
    </xf>
    <xf numFmtId="164" fontId="10" fillId="20" borderId="1" xfId="0" applyNumberFormat="1" applyFont="1" applyFill="1" applyBorder="1" applyAlignment="1">
      <alignment horizontal="center" textRotation="90"/>
    </xf>
    <xf numFmtId="164" fontId="11" fillId="21" borderId="1" xfId="0" applyNumberFormat="1" applyFont="1" applyFill="1" applyBorder="1" applyAlignment="1">
      <alignment horizontal="center" textRotation="90"/>
    </xf>
    <xf numFmtId="164" fontId="10" fillId="21" borderId="1" xfId="0" applyNumberFormat="1" applyFont="1" applyFill="1" applyBorder="1" applyAlignment="1">
      <alignment horizontal="center" textRotation="90"/>
    </xf>
    <xf numFmtId="164" fontId="11" fillId="22" borderId="1" xfId="0" applyNumberFormat="1" applyFont="1" applyFill="1" applyBorder="1" applyAlignment="1">
      <alignment horizontal="center" textRotation="90"/>
    </xf>
    <xf numFmtId="164" fontId="10" fillId="22" borderId="1" xfId="0" applyNumberFormat="1" applyFont="1" applyFill="1" applyBorder="1" applyAlignment="1">
      <alignment horizontal="center" textRotation="90"/>
    </xf>
    <xf numFmtId="0" fontId="3" fillId="22" borderId="14" xfId="0" applyFont="1" applyFill="1" applyBorder="1"/>
    <xf numFmtId="0" fontId="3" fillId="16" borderId="14" xfId="0" applyFont="1" applyFill="1" applyBorder="1"/>
    <xf numFmtId="0" fontId="12" fillId="15" borderId="3" xfId="0" applyFont="1" applyFill="1" applyBorder="1"/>
    <xf numFmtId="0" fontId="12" fillId="15" borderId="20" xfId="0" applyFont="1" applyFill="1" applyBorder="1"/>
    <xf numFmtId="0" fontId="12" fillId="15" borderId="19" xfId="0" applyFont="1" applyFill="1" applyBorder="1"/>
    <xf numFmtId="0" fontId="12" fillId="18" borderId="3" xfId="0" applyFont="1" applyFill="1" applyBorder="1"/>
    <xf numFmtId="0" fontId="12" fillId="18" borderId="20" xfId="0" applyFont="1" applyFill="1" applyBorder="1"/>
    <xf numFmtId="0" fontId="12" fillId="18" borderId="19" xfId="0" applyFont="1" applyFill="1" applyBorder="1"/>
    <xf numFmtId="0" fontId="12" fillId="19" borderId="3" xfId="0" applyFont="1" applyFill="1" applyBorder="1"/>
    <xf numFmtId="0" fontId="12" fillId="19" borderId="20" xfId="0" applyFont="1" applyFill="1" applyBorder="1"/>
    <xf numFmtId="0" fontId="12" fillId="19" borderId="19" xfId="0" applyFont="1" applyFill="1" applyBorder="1"/>
    <xf numFmtId="0" fontId="12" fillId="10" borderId="3" xfId="0" applyFont="1" applyFill="1" applyBorder="1"/>
    <xf numFmtId="0" fontId="12" fillId="10" borderId="20" xfId="0" applyFont="1" applyFill="1" applyBorder="1"/>
    <xf numFmtId="0" fontId="12" fillId="10" borderId="19" xfId="0" applyFont="1" applyFill="1" applyBorder="1"/>
    <xf numFmtId="0" fontId="12" fillId="11" borderId="3" xfId="0" applyFont="1" applyFill="1" applyBorder="1"/>
    <xf numFmtId="0" fontId="12" fillId="11" borderId="20" xfId="0" applyFont="1" applyFill="1" applyBorder="1"/>
    <xf numFmtId="0" fontId="12" fillId="11" borderId="19" xfId="0" applyFont="1" applyFill="1" applyBorder="1"/>
    <xf numFmtId="0" fontId="12" fillId="12" borderId="3" xfId="0" applyFont="1" applyFill="1" applyBorder="1"/>
    <xf numFmtId="0" fontId="12" fillId="12" borderId="20" xfId="0" applyFont="1" applyFill="1" applyBorder="1"/>
    <xf numFmtId="0" fontId="12" fillId="12" borderId="19" xfId="0" applyFont="1" applyFill="1" applyBorder="1"/>
    <xf numFmtId="0" fontId="12" fillId="20" borderId="3" xfId="0" applyFont="1" applyFill="1" applyBorder="1"/>
    <xf numFmtId="0" fontId="12" fillId="20" borderId="20" xfId="0" applyFont="1" applyFill="1" applyBorder="1"/>
    <xf numFmtId="0" fontId="12" fillId="20" borderId="19" xfId="0" applyFont="1" applyFill="1" applyBorder="1"/>
    <xf numFmtId="0" fontId="12" fillId="21" borderId="3" xfId="0" applyFont="1" applyFill="1" applyBorder="1"/>
    <xf numFmtId="0" fontId="12" fillId="21" borderId="19" xfId="0" applyFont="1" applyFill="1" applyBorder="1"/>
    <xf numFmtId="0" fontId="12" fillId="14" borderId="3" xfId="0" applyFont="1" applyFill="1" applyBorder="1"/>
    <xf numFmtId="0" fontId="12" fillId="14" borderId="20" xfId="0" applyFont="1" applyFill="1" applyBorder="1"/>
    <xf numFmtId="0" fontId="12" fillId="14" borderId="19" xfId="0" applyFont="1" applyFill="1" applyBorder="1"/>
    <xf numFmtId="0" fontId="12" fillId="22" borderId="3" xfId="0" applyFont="1" applyFill="1" applyBorder="1"/>
    <xf numFmtId="0" fontId="12" fillId="22" borderId="20" xfId="0" applyFont="1" applyFill="1" applyBorder="1"/>
    <xf numFmtId="0" fontId="12" fillId="22" borderId="19" xfId="0" applyFont="1" applyFill="1" applyBorder="1"/>
    <xf numFmtId="0" fontId="9" fillId="0" borderId="22" xfId="0" applyFont="1" applyBorder="1"/>
    <xf numFmtId="0" fontId="9" fillId="0" borderId="23" xfId="0" applyFont="1" applyBorder="1"/>
    <xf numFmtId="0" fontId="3" fillId="0" borderId="23" xfId="0" applyFont="1" applyBorder="1"/>
    <xf numFmtId="0" fontId="3" fillId="22" borderId="23" xfId="0" applyFont="1" applyFill="1" applyBorder="1"/>
    <xf numFmtId="0" fontId="3" fillId="16" borderId="23" xfId="0" applyFont="1" applyFill="1" applyBorder="1"/>
    <xf numFmtId="0" fontId="3" fillId="23" borderId="23" xfId="0" applyFont="1" applyFill="1" applyBorder="1"/>
    <xf numFmtId="0" fontId="9" fillId="0" borderId="24" xfId="0" applyFont="1" applyBorder="1"/>
    <xf numFmtId="0" fontId="9" fillId="0" borderId="25" xfId="0" applyFont="1" applyBorder="1"/>
    <xf numFmtId="0" fontId="23" fillId="0" borderId="14" xfId="0" applyFont="1" applyBorder="1"/>
    <xf numFmtId="0" fontId="9" fillId="0" borderId="26" xfId="0" applyFont="1" applyBorder="1"/>
    <xf numFmtId="0" fontId="9" fillId="0" borderId="27" xfId="0" applyFont="1" applyBorder="1"/>
    <xf numFmtId="0" fontId="9" fillId="0" borderId="28" xfId="0" applyFont="1" applyBorder="1"/>
    <xf numFmtId="0" fontId="3" fillId="0" borderId="28" xfId="0" applyFont="1" applyBorder="1"/>
    <xf numFmtId="0" fontId="9" fillId="0" borderId="29" xfId="0" applyFont="1" applyBorder="1"/>
    <xf numFmtId="0" fontId="10" fillId="0" borderId="22" xfId="0" applyFont="1" applyBorder="1"/>
    <xf numFmtId="0" fontId="10" fillId="0" borderId="23" xfId="0" applyFont="1" applyBorder="1"/>
    <xf numFmtId="0" fontId="14" fillId="0" borderId="23" xfId="0" applyFont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CFFFF"/>
      <color rgb="FFFF6464"/>
      <color rgb="FFFFFFFF"/>
      <color rgb="FF319362"/>
      <color rgb="FF339966"/>
      <color rgb="FFF2A0A2"/>
      <color rgb="FF30C29F"/>
      <color rgb="FFCCFFCC"/>
      <color rgb="FFA5E9D9"/>
      <color rgb="FF8DE3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Team - Average</a:t>
            </a:r>
            <a:r>
              <a:rPr lang="en-US" baseline="0"/>
              <a:t> </a:t>
            </a:r>
            <a:r>
              <a:rPr lang="en-US"/>
              <a:t>Skill Gap</a:t>
            </a:r>
          </a:p>
        </c:rich>
      </c:tx>
      <c:layout>
        <c:manualLayout>
          <c:xMode val="edge"/>
          <c:yMode val="edge"/>
          <c:x val="0.3853510867321360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053260196408031E-2"/>
          <c:y val="0.10545653887625382"/>
          <c:w val="0.9072946874150094"/>
          <c:h val="0.43683088233073281"/>
        </c:manualLayout>
      </c:layout>
      <c:lineChart>
        <c:grouping val="standard"/>
        <c:varyColors val="0"/>
        <c:ser>
          <c:idx val="0"/>
          <c:order val="0"/>
          <c:tx>
            <c:strRef>
              <c:f>'Chart Analysis'!$U$26</c:f>
              <c:strCache>
                <c:ptCount val="1"/>
                <c:pt idx="0">
                  <c:v>Average Gap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'Chart Analysis'!$T$27:$T$35</c:f>
              <c:numCache>
                <c:formatCode>General</c:formatCode>
                <c:ptCount val="9"/>
                <c:pt idx="0">
                  <c:v>0</c:v>
                </c:pt>
              </c:numCache>
            </c:numRef>
          </c:cat>
          <c:val>
            <c:numRef>
              <c:f>'Chart Analysis'!$U$27:$U$35</c:f>
              <c:numCache>
                <c:formatCode>0.00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52C-4F25-A995-2E63CCDF449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13665536"/>
        <c:axId val="113666256"/>
      </c:lineChart>
      <c:catAx>
        <c:axId val="113665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66256"/>
        <c:crosses val="autoZero"/>
        <c:auto val="1"/>
        <c:lblAlgn val="ctr"/>
        <c:lblOffset val="100"/>
        <c:tickMarkSkip val="10"/>
        <c:noMultiLvlLbl val="0"/>
      </c:catAx>
      <c:valAx>
        <c:axId val="11366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65536"/>
        <c:crosses val="autoZero"/>
        <c:crossBetween val="between"/>
      </c:valAx>
      <c:spPr>
        <a:noFill/>
        <a:ln w="127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Employee - Skill Gap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'Chart Analysis'!$B$5</c:f>
              <c:strCache>
                <c:ptCount val="1"/>
                <c:pt idx="0">
                  <c:v>Current Skill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 Analysis'!$A$6:$A$11</c:f>
              <c:strCache>
                <c:ptCount val="6"/>
                <c:pt idx="0">
                  <c:v>Storage management</c:v>
                </c:pt>
                <c:pt idx="1">
                  <c:v>Data engineering</c:v>
                </c:pt>
                <c:pt idx="2">
                  <c:v>Software Testing</c:v>
                </c:pt>
                <c:pt idx="3">
                  <c:v>System Administration &amp; Infrastructure</c:v>
                </c:pt>
                <c:pt idx="4">
                  <c:v>Financial analysis</c:v>
                </c:pt>
                <c:pt idx="5">
                  <c:v>Methods and tools</c:v>
                </c:pt>
              </c:strCache>
            </c:strRef>
          </c:cat>
          <c:val>
            <c:numRef>
              <c:f>'Chart Analysis'!$B$6:$B$11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CD2-47A3-9C9E-F62D0AB20E98}"/>
            </c:ext>
          </c:extLst>
        </c:ser>
        <c:ser>
          <c:idx val="1"/>
          <c:order val="1"/>
          <c:tx>
            <c:strRef>
              <c:f>'Chart Analysis'!$C$5</c:f>
              <c:strCache>
                <c:ptCount val="1"/>
                <c:pt idx="0">
                  <c:v>Current Role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'Chart Analysis'!$A$6:$A$11</c:f>
              <c:strCache>
                <c:ptCount val="6"/>
                <c:pt idx="0">
                  <c:v>Storage management</c:v>
                </c:pt>
                <c:pt idx="1">
                  <c:v>Data engineering</c:v>
                </c:pt>
                <c:pt idx="2">
                  <c:v>Software Testing</c:v>
                </c:pt>
                <c:pt idx="3">
                  <c:v>System Administration &amp; Infrastructure</c:v>
                </c:pt>
                <c:pt idx="4">
                  <c:v>Financial analysis</c:v>
                </c:pt>
                <c:pt idx="5">
                  <c:v>Methods and tools</c:v>
                </c:pt>
              </c:strCache>
            </c:strRef>
          </c:cat>
          <c:val>
            <c:numRef>
              <c:f>'Chart Analysis'!$C$6:$C$11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CD2-47A3-9C9E-F62D0AB20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7622064"/>
        <c:axId val="627623864"/>
        <c:extLst>
          <c:ext xmlns:c15="http://schemas.microsoft.com/office/drawing/2012/chart" uri="{02D57815-91ED-43cb-92C2-25804820EDAC}">
            <c15:filteredRad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'Chart Analysis'!$D$5</c15:sqref>
                        </c15:formulaRef>
                      </c:ext>
                    </c:extLst>
                    <c:strCache>
                      <c:ptCount val="1"/>
                      <c:pt idx="0">
                        <c:v>Next Role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'Chart Analysis'!$A$6:$A$11</c15:sqref>
                        </c15:formulaRef>
                      </c:ext>
                    </c:extLst>
                    <c:strCache>
                      <c:ptCount val="6"/>
                      <c:pt idx="0">
                        <c:v>Storage management</c:v>
                      </c:pt>
                      <c:pt idx="1">
                        <c:v>Data engineering</c:v>
                      </c:pt>
                      <c:pt idx="2">
                        <c:v>Software Testing</c:v>
                      </c:pt>
                      <c:pt idx="3">
                        <c:v>System Administration &amp; Infrastructure</c:v>
                      </c:pt>
                      <c:pt idx="4">
                        <c:v>Financial analysis</c:v>
                      </c:pt>
                      <c:pt idx="5">
                        <c:v>Methods and tools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'Chart Analysis'!$D$6:$D$11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1C6-4C9A-881C-800B10E65476}"/>
                  </c:ext>
                </c:extLst>
              </c15:ser>
            </c15:filteredRadarSeries>
          </c:ext>
        </c:extLst>
      </c:radarChart>
      <c:catAx>
        <c:axId val="62762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623864"/>
        <c:crosses val="autoZero"/>
        <c:auto val="1"/>
        <c:lblAlgn val="ctr"/>
        <c:lblOffset val="100"/>
        <c:noMultiLvlLbl val="0"/>
      </c:catAx>
      <c:valAx>
        <c:axId val="62762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62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Employee - Skill Gap Next Role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'Chart Analysis'!$B$5</c:f>
              <c:strCache>
                <c:ptCount val="1"/>
                <c:pt idx="0">
                  <c:v>Current Skill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'Chart Analysis'!$A$6:$A$11</c:f>
              <c:strCache>
                <c:ptCount val="6"/>
                <c:pt idx="0">
                  <c:v>Storage management</c:v>
                </c:pt>
                <c:pt idx="1">
                  <c:v>Data engineering</c:v>
                </c:pt>
                <c:pt idx="2">
                  <c:v>Software Testing</c:v>
                </c:pt>
                <c:pt idx="3">
                  <c:v>System Administration &amp; Infrastructure</c:v>
                </c:pt>
                <c:pt idx="4">
                  <c:v>Financial analysis</c:v>
                </c:pt>
                <c:pt idx="5">
                  <c:v>Methods and tools</c:v>
                </c:pt>
              </c:strCache>
            </c:strRef>
          </c:cat>
          <c:val>
            <c:numRef>
              <c:f>'Chart Analysis'!$B$6:$B$11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0D-4783-9963-7555D0C57C6F}"/>
            </c:ext>
          </c:extLst>
        </c:ser>
        <c:ser>
          <c:idx val="2"/>
          <c:order val="2"/>
          <c:tx>
            <c:strRef>
              <c:f>'Chart Analysis'!$D$5</c:f>
              <c:strCache>
                <c:ptCount val="1"/>
                <c:pt idx="0">
                  <c:v>Next Role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'Chart Analysis'!$A$6:$A$11</c:f>
              <c:strCache>
                <c:ptCount val="6"/>
                <c:pt idx="0">
                  <c:v>Storage management</c:v>
                </c:pt>
                <c:pt idx="1">
                  <c:v>Data engineering</c:v>
                </c:pt>
                <c:pt idx="2">
                  <c:v>Software Testing</c:v>
                </c:pt>
                <c:pt idx="3">
                  <c:v>System Administration &amp; Infrastructure</c:v>
                </c:pt>
                <c:pt idx="4">
                  <c:v>Financial analysis</c:v>
                </c:pt>
                <c:pt idx="5">
                  <c:v>Methods and tools</c:v>
                </c:pt>
              </c:strCache>
            </c:strRef>
          </c:cat>
          <c:val>
            <c:numRef>
              <c:f>'Chart Analysis'!$D$6:$D$11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1A-4265-A1AA-AAFD4CA1A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5194376"/>
        <c:axId val="775195456"/>
        <c:extLst>
          <c:ext xmlns:c15="http://schemas.microsoft.com/office/drawing/2012/chart" uri="{02D57815-91ED-43cb-92C2-25804820EDAC}">
            <c15:filteredRad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'Chart Analysis'!$C$5</c15:sqref>
                        </c15:formulaRef>
                      </c:ext>
                    </c:extLst>
                    <c:strCache>
                      <c:ptCount val="1"/>
                      <c:pt idx="0">
                        <c:v>Current Role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'Chart Analysis'!$A$6:$A$11</c15:sqref>
                        </c15:formulaRef>
                      </c:ext>
                    </c:extLst>
                    <c:strCache>
                      <c:ptCount val="6"/>
                      <c:pt idx="0">
                        <c:v>Storage management</c:v>
                      </c:pt>
                      <c:pt idx="1">
                        <c:v>Data engineering</c:v>
                      </c:pt>
                      <c:pt idx="2">
                        <c:v>Software Testing</c:v>
                      </c:pt>
                      <c:pt idx="3">
                        <c:v>System Administration &amp; Infrastructure</c:v>
                      </c:pt>
                      <c:pt idx="4">
                        <c:v>Financial analysis</c:v>
                      </c:pt>
                      <c:pt idx="5">
                        <c:v>Methods and tools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'Chart Analysis'!$C$6:$C$11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FA1B-477C-88F4-84B8A244BCAB}"/>
                  </c:ext>
                </c:extLst>
              </c15:ser>
            </c15:filteredRadarSeries>
          </c:ext>
        </c:extLst>
      </c:radarChart>
      <c:catAx>
        <c:axId val="77519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195456"/>
        <c:crosses val="autoZero"/>
        <c:auto val="1"/>
        <c:lblAlgn val="ctr"/>
        <c:lblOffset val="100"/>
        <c:noMultiLvlLbl val="0"/>
      </c:catAx>
      <c:valAx>
        <c:axId val="775195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5194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79208</xdr:colOff>
          <xdr:row>2</xdr:row>
          <xdr:rowOff>2507</xdr:rowOff>
        </xdr:from>
        <xdr:to>
          <xdr:col>17</xdr:col>
          <xdr:colOff>69181</xdr:colOff>
          <xdr:row>3</xdr:row>
          <xdr:rowOff>143376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Roles/Skills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54909</xdr:colOff>
          <xdr:row>4</xdr:row>
          <xdr:rowOff>16248</xdr:rowOff>
        </xdr:from>
        <xdr:to>
          <xdr:col>26</xdr:col>
          <xdr:colOff>162486</xdr:colOff>
          <xdr:row>6</xdr:row>
          <xdr:rowOff>11206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Employee Skills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0</xdr:colOff>
          <xdr:row>1</xdr:row>
          <xdr:rowOff>152400</xdr:rowOff>
        </xdr:from>
        <xdr:to>
          <xdr:col>17</xdr:col>
          <xdr:colOff>9525</xdr:colOff>
          <xdr:row>4</xdr:row>
          <xdr:rowOff>9525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Gap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243840</xdr:colOff>
      <xdr:row>22</xdr:row>
      <xdr:rowOff>148590</xdr:rowOff>
    </xdr:from>
    <xdr:to>
      <xdr:col>18</xdr:col>
      <xdr:colOff>1912620</xdr:colOff>
      <xdr:row>44</xdr:row>
      <xdr:rowOff>144780</xdr:rowOff>
    </xdr:to>
    <xdr:graphicFrame macro="">
      <xdr:nvGraphicFramePr>
        <xdr:cNvPr id="2" name="TeamSkillGa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190500</xdr:colOff>
      <xdr:row>2</xdr:row>
      <xdr:rowOff>3810</xdr:rowOff>
    </xdr:from>
    <xdr:to>
      <xdr:col>18</xdr:col>
      <xdr:colOff>655320</xdr:colOff>
      <xdr:row>20</xdr:row>
      <xdr:rowOff>152400</xdr:rowOff>
    </xdr:to>
    <xdr:graphicFrame macro="">
      <xdr:nvGraphicFramePr>
        <xdr:cNvPr id="3" name="GapCurrentRole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769620</xdr:colOff>
      <xdr:row>2</xdr:row>
      <xdr:rowOff>3810</xdr:rowOff>
    </xdr:from>
    <xdr:to>
      <xdr:col>23</xdr:col>
      <xdr:colOff>251460</xdr:colOff>
      <xdr:row>20</xdr:row>
      <xdr:rowOff>144780</xdr:rowOff>
    </xdr:to>
    <xdr:graphicFrame macro="">
      <xdr:nvGraphicFramePr>
        <xdr:cNvPr id="4" name="GapNextRole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60"/>
  <sheetViews>
    <sheetView zoomScale="95" zoomScaleNormal="95" workbookViewId="0">
      <pane xSplit="4" topLeftCell="F1" activePane="topRight" state="frozen"/>
      <selection pane="topRight" activeCell="C1" sqref="C1"/>
    </sheetView>
  </sheetViews>
  <sheetFormatPr defaultColWidth="9.28515625" defaultRowHeight="11.25" x14ac:dyDescent="0.2"/>
  <cols>
    <col min="1" max="1" width="7.7109375" style="4" bestFit="1" customWidth="1"/>
    <col min="2" max="2" width="58.140625" style="4" customWidth="1"/>
    <col min="3" max="3" width="40.28515625" style="4" customWidth="1"/>
    <col min="4" max="4" width="2.5703125" style="4" hidden="1" customWidth="1"/>
    <col min="5" max="82" width="2.5703125" style="4" customWidth="1"/>
    <col min="83" max="83" width="2.5703125" style="4" hidden="1" customWidth="1"/>
    <col min="84" max="84" width="37.28515625" style="4" customWidth="1"/>
    <col min="85" max="85" width="9.28515625" style="4" customWidth="1"/>
    <col min="86" max="16384" width="9.28515625" style="4"/>
  </cols>
  <sheetData>
    <row r="1" spans="1:86" ht="18.75" thickBot="1" x14ac:dyDescent="0.3">
      <c r="A1" s="52" t="s">
        <v>48</v>
      </c>
      <c r="B1" s="57" t="s">
        <v>121</v>
      </c>
      <c r="C1" s="15" t="s">
        <v>0</v>
      </c>
      <c r="D1" s="99" t="s">
        <v>58</v>
      </c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99" t="s">
        <v>58</v>
      </c>
    </row>
    <row r="2" spans="1:86" ht="57" customHeight="1" x14ac:dyDescent="0.2">
      <c r="C2" s="101" t="s">
        <v>51</v>
      </c>
      <c r="D2" s="99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99"/>
      <c r="CF2" s="85"/>
    </row>
    <row r="3" spans="1:86" x14ac:dyDescent="0.2">
      <c r="A3" s="94"/>
      <c r="C3" s="102"/>
      <c r="D3" s="99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99"/>
      <c r="CF3" s="85"/>
    </row>
    <row r="4" spans="1:86" ht="12.75" x14ac:dyDescent="0.2">
      <c r="B4" s="89"/>
      <c r="C4" s="102"/>
      <c r="D4" s="99"/>
      <c r="E4" s="63"/>
      <c r="F4" s="63"/>
      <c r="G4" s="63"/>
      <c r="H4" s="63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99"/>
    </row>
    <row r="5" spans="1:86" ht="12" thickBot="1" x14ac:dyDescent="0.25">
      <c r="C5" s="102"/>
      <c r="D5" s="99"/>
      <c r="E5" s="63"/>
      <c r="F5" s="63"/>
      <c r="G5" s="63"/>
      <c r="H5" s="63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99"/>
    </row>
    <row r="6" spans="1:86" ht="12" thickBot="1" x14ac:dyDescent="0.25">
      <c r="A6" s="95"/>
      <c r="B6" s="98" t="s">
        <v>118</v>
      </c>
      <c r="C6" s="102"/>
      <c r="D6" s="99"/>
      <c r="E6" s="63"/>
      <c r="F6" s="63"/>
      <c r="G6" s="63"/>
      <c r="H6" s="63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99"/>
    </row>
    <row r="7" spans="1:86" ht="12" thickBot="1" x14ac:dyDescent="0.25">
      <c r="A7" s="96"/>
      <c r="B7" s="97" t="s">
        <v>119</v>
      </c>
      <c r="C7" s="103"/>
      <c r="D7" s="100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100"/>
    </row>
    <row r="8" spans="1:86" s="2" customFormat="1" ht="130.15" customHeight="1" thickBot="1" x14ac:dyDescent="0.25">
      <c r="A8" s="4"/>
      <c r="B8" s="4"/>
      <c r="C8" s="10" t="s">
        <v>2</v>
      </c>
      <c r="D8" s="53" t="s">
        <v>47</v>
      </c>
      <c r="E8" s="81" t="s">
        <v>122</v>
      </c>
      <c r="F8" s="81" t="s">
        <v>124</v>
      </c>
      <c r="G8" s="81" t="s">
        <v>126</v>
      </c>
      <c r="H8" s="81" t="s">
        <v>66</v>
      </c>
      <c r="I8" s="81" t="s">
        <v>128</v>
      </c>
      <c r="J8" s="81" t="s">
        <v>130</v>
      </c>
      <c r="K8" s="81" t="s">
        <v>132</v>
      </c>
      <c r="L8" s="81" t="s">
        <v>134</v>
      </c>
      <c r="M8" s="81" t="s">
        <v>136</v>
      </c>
      <c r="N8" s="81" t="s">
        <v>138</v>
      </c>
      <c r="O8" s="81" t="s">
        <v>140</v>
      </c>
      <c r="P8" s="124" t="s">
        <v>142</v>
      </c>
      <c r="Q8" s="124" t="s">
        <v>145</v>
      </c>
      <c r="R8" s="124" t="s">
        <v>147</v>
      </c>
      <c r="S8" s="124" t="s">
        <v>149</v>
      </c>
      <c r="T8" s="124" t="s">
        <v>151</v>
      </c>
      <c r="U8" s="124" t="s">
        <v>153</v>
      </c>
      <c r="V8" s="124" t="s">
        <v>155</v>
      </c>
      <c r="W8" s="124" t="s">
        <v>157</v>
      </c>
      <c r="X8" s="124" t="s">
        <v>159</v>
      </c>
      <c r="Y8" s="124" t="s">
        <v>161</v>
      </c>
      <c r="Z8" s="124" t="s">
        <v>163</v>
      </c>
      <c r="AA8" s="124" t="s">
        <v>165</v>
      </c>
      <c r="AB8" s="126" t="s">
        <v>167</v>
      </c>
      <c r="AC8" s="126" t="s">
        <v>170</v>
      </c>
      <c r="AD8" s="126" t="s">
        <v>172</v>
      </c>
      <c r="AE8" s="54" t="s">
        <v>174</v>
      </c>
      <c r="AF8" s="54" t="s">
        <v>176</v>
      </c>
      <c r="AG8" s="54" t="s">
        <v>178</v>
      </c>
      <c r="AH8" s="54" t="s">
        <v>180</v>
      </c>
      <c r="AI8" s="54" t="s">
        <v>182</v>
      </c>
      <c r="AJ8" s="54" t="s">
        <v>184</v>
      </c>
      <c r="AK8" s="54" t="s">
        <v>186</v>
      </c>
      <c r="AL8" s="54" t="s">
        <v>188</v>
      </c>
      <c r="AM8" s="55" t="s">
        <v>190</v>
      </c>
      <c r="AN8" s="55" t="s">
        <v>192</v>
      </c>
      <c r="AO8" s="55" t="s">
        <v>194</v>
      </c>
      <c r="AP8" s="55" t="s">
        <v>196</v>
      </c>
      <c r="AQ8" s="55" t="s">
        <v>198</v>
      </c>
      <c r="AR8" s="55" t="s">
        <v>200</v>
      </c>
      <c r="AS8" s="55" t="s">
        <v>202</v>
      </c>
      <c r="AT8" s="55" t="s">
        <v>204</v>
      </c>
      <c r="AU8" s="55" t="s">
        <v>206</v>
      </c>
      <c r="AV8" s="55" t="s">
        <v>208</v>
      </c>
      <c r="AW8" s="55" t="s">
        <v>210</v>
      </c>
      <c r="AX8" s="56" t="s">
        <v>212</v>
      </c>
      <c r="AY8" s="56" t="s">
        <v>214</v>
      </c>
      <c r="AZ8" s="56" t="s">
        <v>216</v>
      </c>
      <c r="BA8" s="56" t="s">
        <v>218</v>
      </c>
      <c r="BB8" s="56" t="s">
        <v>220</v>
      </c>
      <c r="BC8" s="56" t="s">
        <v>42</v>
      </c>
      <c r="BD8" s="56" t="s">
        <v>222</v>
      </c>
      <c r="BE8" s="56" t="s">
        <v>224</v>
      </c>
      <c r="BF8" s="128" t="s">
        <v>226</v>
      </c>
      <c r="BG8" s="128" t="s">
        <v>229</v>
      </c>
      <c r="BH8" s="128" t="s">
        <v>231</v>
      </c>
      <c r="BI8" s="128" t="s">
        <v>233</v>
      </c>
      <c r="BJ8" s="128" t="s">
        <v>235</v>
      </c>
      <c r="BK8" s="128" t="s">
        <v>237</v>
      </c>
      <c r="BL8" s="128" t="s">
        <v>239</v>
      </c>
      <c r="BM8" s="130" t="s">
        <v>241</v>
      </c>
      <c r="BN8" s="130" t="s">
        <v>244</v>
      </c>
      <c r="BO8" s="58" t="s">
        <v>246</v>
      </c>
      <c r="BP8" s="58" t="s">
        <v>248</v>
      </c>
      <c r="BQ8" s="58" t="s">
        <v>250</v>
      </c>
      <c r="BR8" s="58" t="s">
        <v>252</v>
      </c>
      <c r="BS8" s="58" t="s">
        <v>64</v>
      </c>
      <c r="BT8" s="58" t="s">
        <v>254</v>
      </c>
      <c r="BU8" s="58" t="s">
        <v>56</v>
      </c>
      <c r="BV8" s="58" t="s">
        <v>256</v>
      </c>
      <c r="BW8" s="58" t="s">
        <v>258</v>
      </c>
      <c r="BX8" s="132" t="s">
        <v>260</v>
      </c>
      <c r="BY8" s="132" t="s">
        <v>263</v>
      </c>
      <c r="BZ8" s="132" t="s">
        <v>265</v>
      </c>
      <c r="CA8" s="132" t="s">
        <v>267</v>
      </c>
      <c r="CB8" s="132" t="s">
        <v>269</v>
      </c>
      <c r="CC8" s="132" t="s">
        <v>271</v>
      </c>
      <c r="CD8" s="132" t="s">
        <v>273</v>
      </c>
      <c r="CE8" s="53" t="s">
        <v>46</v>
      </c>
      <c r="CF8" s="74" t="s">
        <v>3</v>
      </c>
      <c r="CH8" s="88"/>
    </row>
    <row r="9" spans="1:86" s="2" customFormat="1" ht="37.5" thickBot="1" x14ac:dyDescent="0.25">
      <c r="C9" s="47"/>
      <c r="D9" s="72"/>
      <c r="E9" s="82" t="s">
        <v>123</v>
      </c>
      <c r="F9" s="82" t="s">
        <v>125</v>
      </c>
      <c r="G9" s="82" t="s">
        <v>127</v>
      </c>
      <c r="H9" s="82" t="s">
        <v>67</v>
      </c>
      <c r="I9" s="82" t="s">
        <v>129</v>
      </c>
      <c r="J9" s="82" t="s">
        <v>131</v>
      </c>
      <c r="K9" s="82" t="s">
        <v>133</v>
      </c>
      <c r="L9" s="82" t="s">
        <v>135</v>
      </c>
      <c r="M9" s="82" t="s">
        <v>137</v>
      </c>
      <c r="N9" s="82" t="s">
        <v>139</v>
      </c>
      <c r="O9" s="82" t="s">
        <v>141</v>
      </c>
      <c r="P9" s="125" t="s">
        <v>143</v>
      </c>
      <c r="Q9" s="125" t="s">
        <v>146</v>
      </c>
      <c r="R9" s="125" t="s">
        <v>148</v>
      </c>
      <c r="S9" s="125" t="s">
        <v>150</v>
      </c>
      <c r="T9" s="125" t="s">
        <v>152</v>
      </c>
      <c r="U9" s="125" t="s">
        <v>154</v>
      </c>
      <c r="V9" s="125" t="s">
        <v>156</v>
      </c>
      <c r="W9" s="125" t="s">
        <v>158</v>
      </c>
      <c r="X9" s="125" t="s">
        <v>160</v>
      </c>
      <c r="Y9" s="125" t="s">
        <v>162</v>
      </c>
      <c r="Z9" s="125" t="s">
        <v>164</v>
      </c>
      <c r="AA9" s="125" t="s">
        <v>166</v>
      </c>
      <c r="AB9" s="127" t="s">
        <v>168</v>
      </c>
      <c r="AC9" s="127" t="s">
        <v>171</v>
      </c>
      <c r="AD9" s="127" t="s">
        <v>173</v>
      </c>
      <c r="AE9" s="66" t="s">
        <v>175</v>
      </c>
      <c r="AF9" s="66" t="s">
        <v>177</v>
      </c>
      <c r="AG9" s="66" t="s">
        <v>179</v>
      </c>
      <c r="AH9" s="66" t="s">
        <v>181</v>
      </c>
      <c r="AI9" s="66" t="s">
        <v>183</v>
      </c>
      <c r="AJ9" s="66" t="s">
        <v>185</v>
      </c>
      <c r="AK9" s="66" t="s">
        <v>187</v>
      </c>
      <c r="AL9" s="66" t="s">
        <v>189</v>
      </c>
      <c r="AM9" s="67" t="s">
        <v>191</v>
      </c>
      <c r="AN9" s="67" t="s">
        <v>193</v>
      </c>
      <c r="AO9" s="67" t="s">
        <v>195</v>
      </c>
      <c r="AP9" s="67" t="s">
        <v>197</v>
      </c>
      <c r="AQ9" s="67" t="s">
        <v>199</v>
      </c>
      <c r="AR9" s="67" t="s">
        <v>201</v>
      </c>
      <c r="AS9" s="67" t="s">
        <v>203</v>
      </c>
      <c r="AT9" s="67" t="s">
        <v>205</v>
      </c>
      <c r="AU9" s="67" t="s">
        <v>207</v>
      </c>
      <c r="AV9" s="67" t="s">
        <v>209</v>
      </c>
      <c r="AW9" s="67" t="s">
        <v>211</v>
      </c>
      <c r="AX9" s="76" t="s">
        <v>213</v>
      </c>
      <c r="AY9" s="76" t="s">
        <v>215</v>
      </c>
      <c r="AZ9" s="76" t="s">
        <v>217</v>
      </c>
      <c r="BA9" s="76" t="s">
        <v>219</v>
      </c>
      <c r="BB9" s="76" t="s">
        <v>221</v>
      </c>
      <c r="BC9" s="76" t="s">
        <v>41</v>
      </c>
      <c r="BD9" s="76" t="s">
        <v>223</v>
      </c>
      <c r="BE9" s="76" t="s">
        <v>225</v>
      </c>
      <c r="BF9" s="129" t="s">
        <v>227</v>
      </c>
      <c r="BG9" s="129" t="s">
        <v>230</v>
      </c>
      <c r="BH9" s="129" t="s">
        <v>232</v>
      </c>
      <c r="BI9" s="129" t="s">
        <v>234</v>
      </c>
      <c r="BJ9" s="129" t="s">
        <v>236</v>
      </c>
      <c r="BK9" s="129" t="s">
        <v>238</v>
      </c>
      <c r="BL9" s="129" t="s">
        <v>240</v>
      </c>
      <c r="BM9" s="131" t="s">
        <v>242</v>
      </c>
      <c r="BN9" s="131" t="s">
        <v>245</v>
      </c>
      <c r="BO9" s="77" t="s">
        <v>247</v>
      </c>
      <c r="BP9" s="77" t="s">
        <v>249</v>
      </c>
      <c r="BQ9" s="77" t="s">
        <v>251</v>
      </c>
      <c r="BR9" s="77" t="s">
        <v>253</v>
      </c>
      <c r="BS9" s="77" t="s">
        <v>65</v>
      </c>
      <c r="BT9" s="77" t="s">
        <v>255</v>
      </c>
      <c r="BU9" s="77" t="s">
        <v>57</v>
      </c>
      <c r="BV9" s="77" t="s">
        <v>257</v>
      </c>
      <c r="BW9" s="77" t="s">
        <v>259</v>
      </c>
      <c r="BX9" s="133" t="s">
        <v>261</v>
      </c>
      <c r="BY9" s="133" t="s">
        <v>264</v>
      </c>
      <c r="BZ9" s="133" t="s">
        <v>266</v>
      </c>
      <c r="CA9" s="133" t="s">
        <v>268</v>
      </c>
      <c r="CB9" s="133" t="s">
        <v>270</v>
      </c>
      <c r="CC9" s="133" t="s">
        <v>272</v>
      </c>
      <c r="CD9" s="133" t="s">
        <v>274</v>
      </c>
      <c r="CE9" s="72"/>
      <c r="CF9" s="51"/>
    </row>
    <row r="10" spans="1:86" ht="13.5" customHeight="1" thickBot="1" x14ac:dyDescent="0.25">
      <c r="C10" s="12"/>
      <c r="D10" s="65"/>
      <c r="E10" s="136" t="s">
        <v>68</v>
      </c>
      <c r="F10" s="137"/>
      <c r="G10" s="137"/>
      <c r="H10" s="137"/>
      <c r="I10" s="137"/>
      <c r="J10" s="137"/>
      <c r="K10" s="137"/>
      <c r="L10" s="137"/>
      <c r="M10" s="137"/>
      <c r="N10" s="137"/>
      <c r="O10" s="138"/>
      <c r="P10" s="139" t="s">
        <v>144</v>
      </c>
      <c r="Q10" s="140"/>
      <c r="R10" s="140"/>
      <c r="S10" s="140"/>
      <c r="T10" s="140"/>
      <c r="U10" s="140"/>
      <c r="V10" s="140"/>
      <c r="W10" s="140"/>
      <c r="X10" s="140"/>
      <c r="Y10" s="140"/>
      <c r="Z10" s="140"/>
      <c r="AA10" s="141"/>
      <c r="AB10" s="142" t="s">
        <v>169</v>
      </c>
      <c r="AC10" s="143"/>
      <c r="AD10" s="144"/>
      <c r="AE10" s="145" t="s">
        <v>37</v>
      </c>
      <c r="AF10" s="146"/>
      <c r="AG10" s="146"/>
      <c r="AH10" s="146"/>
      <c r="AI10" s="146"/>
      <c r="AJ10" s="146"/>
      <c r="AK10" s="146"/>
      <c r="AL10" s="147"/>
      <c r="AM10" s="148" t="s">
        <v>32</v>
      </c>
      <c r="AN10" s="149"/>
      <c r="AO10" s="149"/>
      <c r="AP10" s="149"/>
      <c r="AQ10" s="149"/>
      <c r="AR10" s="149"/>
      <c r="AS10" s="149"/>
      <c r="AT10" s="149"/>
      <c r="AU10" s="149"/>
      <c r="AV10" s="149"/>
      <c r="AW10" s="150"/>
      <c r="AX10" s="151" t="s">
        <v>40</v>
      </c>
      <c r="AY10" s="152"/>
      <c r="AZ10" s="152"/>
      <c r="BA10" s="152"/>
      <c r="BB10" s="152"/>
      <c r="BC10" s="152"/>
      <c r="BD10" s="152"/>
      <c r="BE10" s="153"/>
      <c r="BF10" s="154" t="s">
        <v>228</v>
      </c>
      <c r="BG10" s="155"/>
      <c r="BH10" s="155"/>
      <c r="BI10" s="155"/>
      <c r="BJ10" s="155"/>
      <c r="BK10" s="155"/>
      <c r="BL10" s="156"/>
      <c r="BM10" s="157" t="s">
        <v>243</v>
      </c>
      <c r="BN10" s="158"/>
      <c r="BO10" s="159" t="s">
        <v>55</v>
      </c>
      <c r="BP10" s="160"/>
      <c r="BQ10" s="160"/>
      <c r="BR10" s="160"/>
      <c r="BS10" s="160"/>
      <c r="BT10" s="160"/>
      <c r="BU10" s="160"/>
      <c r="BV10" s="160"/>
      <c r="BW10" s="161"/>
      <c r="BX10" s="162" t="s">
        <v>262</v>
      </c>
      <c r="BY10" s="163"/>
      <c r="BZ10" s="163"/>
      <c r="CA10" s="163"/>
      <c r="CB10" s="163"/>
      <c r="CC10" s="163"/>
      <c r="CD10" s="164"/>
      <c r="CE10" s="75"/>
    </row>
    <row r="11" spans="1:86" x14ac:dyDescent="0.2"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</row>
    <row r="12" spans="1:86" ht="13.5" customHeight="1" x14ac:dyDescent="0.2">
      <c r="A12" s="14"/>
      <c r="B12" s="14" t="s">
        <v>116</v>
      </c>
      <c r="C12" s="14" t="s">
        <v>45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</row>
    <row r="13" spans="1:86" ht="13.5" hidden="1" customHeight="1" x14ac:dyDescent="0.2">
      <c r="A13" s="14"/>
      <c r="B13" s="84" t="s">
        <v>69</v>
      </c>
      <c r="C13" s="60" t="s">
        <v>49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30"/>
    </row>
    <row r="14" spans="1:86" x14ac:dyDescent="0.2">
      <c r="B14" s="30" t="s">
        <v>275</v>
      </c>
      <c r="C14" s="30" t="s">
        <v>30</v>
      </c>
      <c r="D14" s="30"/>
      <c r="E14" s="134">
        <v>6</v>
      </c>
      <c r="F14" s="135">
        <v>6</v>
      </c>
      <c r="G14" s="135">
        <v>6</v>
      </c>
      <c r="H14" s="135">
        <v>6</v>
      </c>
      <c r="I14" s="135">
        <v>6</v>
      </c>
      <c r="J14" s="134">
        <v>6</v>
      </c>
      <c r="K14" s="134">
        <v>6</v>
      </c>
      <c r="L14" s="134">
        <v>6</v>
      </c>
      <c r="M14" s="134">
        <v>6</v>
      </c>
      <c r="N14" s="134">
        <v>6</v>
      </c>
      <c r="O14" s="135">
        <v>6</v>
      </c>
      <c r="P14" s="135">
        <v>6</v>
      </c>
      <c r="Q14" s="134">
        <v>5</v>
      </c>
      <c r="R14" s="135">
        <v>5</v>
      </c>
      <c r="S14" s="134">
        <v>4</v>
      </c>
      <c r="T14" s="135">
        <v>5</v>
      </c>
      <c r="U14" s="134">
        <v>5</v>
      </c>
      <c r="V14" s="134">
        <v>5</v>
      </c>
      <c r="W14" s="134">
        <v>6</v>
      </c>
      <c r="X14" s="134">
        <v>4</v>
      </c>
      <c r="Y14" s="135">
        <v>4</v>
      </c>
      <c r="Z14" s="135">
        <v>6</v>
      </c>
      <c r="AA14" s="30"/>
      <c r="AB14" s="135">
        <v>5</v>
      </c>
      <c r="AC14" s="135">
        <v>5</v>
      </c>
      <c r="AD14" s="134">
        <v>4</v>
      </c>
      <c r="AE14" s="134">
        <v>4</v>
      </c>
      <c r="AF14" s="134">
        <v>4</v>
      </c>
      <c r="AG14" s="30"/>
      <c r="AH14" s="30"/>
      <c r="AI14" s="135">
        <v>5</v>
      </c>
      <c r="AJ14" s="134">
        <v>5</v>
      </c>
      <c r="AK14" s="134">
        <v>5</v>
      </c>
      <c r="AL14" s="134">
        <v>5</v>
      </c>
      <c r="AM14" s="134">
        <v>4</v>
      </c>
      <c r="AN14" s="134">
        <v>6</v>
      </c>
      <c r="AO14" s="134">
        <v>5</v>
      </c>
      <c r="AP14" s="30"/>
      <c r="AQ14" s="134">
        <v>4</v>
      </c>
      <c r="AR14" s="134">
        <v>5</v>
      </c>
      <c r="AS14" s="134">
        <v>5</v>
      </c>
      <c r="AT14" s="30"/>
      <c r="AU14" s="30"/>
      <c r="AV14" s="134">
        <v>5</v>
      </c>
      <c r="AW14" s="134">
        <v>5</v>
      </c>
      <c r="AX14" s="30"/>
      <c r="AY14" s="134">
        <v>6</v>
      </c>
      <c r="AZ14" s="135">
        <v>6</v>
      </c>
      <c r="BA14" s="135">
        <v>6</v>
      </c>
      <c r="BB14" s="135">
        <v>6</v>
      </c>
      <c r="BC14" s="134">
        <v>4</v>
      </c>
      <c r="BD14" s="134">
        <v>5</v>
      </c>
      <c r="BE14" s="30"/>
      <c r="BF14" s="134">
        <v>5</v>
      </c>
      <c r="BG14" s="134">
        <v>5</v>
      </c>
      <c r="BH14" s="134">
        <v>5</v>
      </c>
      <c r="BI14" s="134">
        <v>6</v>
      </c>
      <c r="BJ14" s="134">
        <v>5</v>
      </c>
      <c r="BK14" s="134">
        <v>5</v>
      </c>
      <c r="BL14" s="134">
        <v>6</v>
      </c>
      <c r="BM14" s="135">
        <v>6</v>
      </c>
      <c r="BN14" s="134">
        <v>5</v>
      </c>
      <c r="BO14" s="134">
        <v>3</v>
      </c>
      <c r="BP14" s="134">
        <v>5</v>
      </c>
      <c r="BQ14" s="134">
        <v>5</v>
      </c>
      <c r="BR14" s="134">
        <v>5</v>
      </c>
      <c r="BS14" s="134">
        <v>3</v>
      </c>
      <c r="BT14" s="134">
        <v>6</v>
      </c>
      <c r="BU14" s="134">
        <v>5</v>
      </c>
      <c r="BV14" s="134">
        <v>6</v>
      </c>
      <c r="BW14" s="134">
        <v>4</v>
      </c>
      <c r="BX14" s="30"/>
      <c r="BY14" s="30"/>
      <c r="BZ14" s="30"/>
      <c r="CA14" s="30"/>
      <c r="CB14" s="30"/>
      <c r="CC14" s="30"/>
      <c r="CD14" s="30"/>
      <c r="CE14" s="30"/>
      <c r="CF14" s="30"/>
    </row>
    <row r="15" spans="1:86" x14ac:dyDescent="0.2">
      <c r="B15" s="30" t="s">
        <v>275</v>
      </c>
      <c r="C15" s="30" t="s">
        <v>96</v>
      </c>
      <c r="D15" s="30"/>
      <c r="E15" s="134">
        <v>5</v>
      </c>
      <c r="F15" s="135">
        <v>5</v>
      </c>
      <c r="G15" s="135">
        <v>5</v>
      </c>
      <c r="H15" s="135">
        <v>5</v>
      </c>
      <c r="I15" s="134">
        <v>5</v>
      </c>
      <c r="J15" s="134">
        <v>5</v>
      </c>
      <c r="K15" s="134">
        <v>5</v>
      </c>
      <c r="L15" s="134">
        <v>3</v>
      </c>
      <c r="M15" s="134">
        <v>5</v>
      </c>
      <c r="N15" s="134">
        <v>5</v>
      </c>
      <c r="O15" s="134">
        <v>5</v>
      </c>
      <c r="P15" s="135">
        <v>5</v>
      </c>
      <c r="Q15" s="134">
        <v>4</v>
      </c>
      <c r="R15" s="135">
        <v>4</v>
      </c>
      <c r="S15" s="30"/>
      <c r="T15" s="135">
        <v>4</v>
      </c>
      <c r="U15" s="30"/>
      <c r="V15" s="30"/>
      <c r="W15" s="134">
        <v>5</v>
      </c>
      <c r="X15" s="30"/>
      <c r="Y15" s="135">
        <v>3</v>
      </c>
      <c r="Z15" s="135">
        <v>5</v>
      </c>
      <c r="AA15" s="134">
        <v>5</v>
      </c>
      <c r="AB15" s="135">
        <v>5</v>
      </c>
      <c r="AC15" s="135">
        <v>5</v>
      </c>
      <c r="AD15" s="134">
        <v>4</v>
      </c>
      <c r="AE15" s="134">
        <v>3</v>
      </c>
      <c r="AF15" s="134">
        <v>3</v>
      </c>
      <c r="AG15" s="30"/>
      <c r="AH15" s="134">
        <v>2</v>
      </c>
      <c r="AI15" s="135">
        <v>4</v>
      </c>
      <c r="AJ15" s="134">
        <v>4</v>
      </c>
      <c r="AK15" s="134">
        <v>4</v>
      </c>
      <c r="AL15" s="30"/>
      <c r="AM15" s="30"/>
      <c r="AN15" s="134">
        <v>5</v>
      </c>
      <c r="AO15" s="134">
        <v>4</v>
      </c>
      <c r="AP15" s="30"/>
      <c r="AQ15" s="134">
        <v>4</v>
      </c>
      <c r="AR15" s="134">
        <v>4</v>
      </c>
      <c r="AS15" s="134">
        <v>4</v>
      </c>
      <c r="AT15" s="30"/>
      <c r="AU15" s="30"/>
      <c r="AV15" s="134">
        <v>4</v>
      </c>
      <c r="AW15" s="134">
        <v>5</v>
      </c>
      <c r="AX15" s="30"/>
      <c r="AY15" s="134">
        <v>6</v>
      </c>
      <c r="AZ15" s="135">
        <v>5</v>
      </c>
      <c r="BA15" s="135">
        <v>5</v>
      </c>
      <c r="BB15" s="135">
        <v>5</v>
      </c>
      <c r="BC15" s="134">
        <v>4</v>
      </c>
      <c r="BD15" s="30"/>
      <c r="BE15" s="30"/>
      <c r="BF15" s="30"/>
      <c r="BG15" s="30"/>
      <c r="BH15" s="134">
        <v>4</v>
      </c>
      <c r="BI15" s="30"/>
      <c r="BJ15" s="30"/>
      <c r="BK15" s="134">
        <v>4</v>
      </c>
      <c r="BL15" s="30"/>
      <c r="BM15" s="135">
        <v>5</v>
      </c>
      <c r="BN15" s="30"/>
      <c r="BO15" s="30"/>
      <c r="BP15" s="30"/>
      <c r="BQ15" s="134">
        <v>4</v>
      </c>
      <c r="BR15" s="30"/>
      <c r="BS15" s="134">
        <v>2</v>
      </c>
      <c r="BT15" s="134">
        <v>4</v>
      </c>
      <c r="BU15" s="134">
        <v>4</v>
      </c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</row>
    <row r="16" spans="1:86" x14ac:dyDescent="0.2">
      <c r="B16" s="30" t="s">
        <v>275</v>
      </c>
      <c r="C16" s="30" t="s">
        <v>95</v>
      </c>
      <c r="D16" s="30"/>
      <c r="E16" s="134">
        <v>4</v>
      </c>
      <c r="F16" s="135">
        <v>4</v>
      </c>
      <c r="G16" s="135">
        <v>4</v>
      </c>
      <c r="H16" s="135">
        <v>4</v>
      </c>
      <c r="I16" s="134">
        <v>4</v>
      </c>
      <c r="J16" s="134">
        <v>4</v>
      </c>
      <c r="K16" s="134">
        <v>4</v>
      </c>
      <c r="L16" s="30"/>
      <c r="M16" s="134">
        <v>4</v>
      </c>
      <c r="N16" s="134">
        <v>4</v>
      </c>
      <c r="O16" s="134">
        <v>4</v>
      </c>
      <c r="P16" s="135">
        <v>3</v>
      </c>
      <c r="Q16" s="134">
        <v>3</v>
      </c>
      <c r="R16" s="135">
        <v>3</v>
      </c>
      <c r="S16" s="30"/>
      <c r="T16" s="135">
        <v>3</v>
      </c>
      <c r="U16" s="30"/>
      <c r="V16" s="30"/>
      <c r="W16" s="30"/>
      <c r="X16" s="30"/>
      <c r="Y16" s="134">
        <v>3</v>
      </c>
      <c r="Z16" s="135">
        <v>4</v>
      </c>
      <c r="AA16" s="134">
        <v>4</v>
      </c>
      <c r="AB16" s="135">
        <v>4</v>
      </c>
      <c r="AC16" s="135">
        <v>4</v>
      </c>
      <c r="AD16" s="134">
        <v>3</v>
      </c>
      <c r="AE16" s="134">
        <v>2</v>
      </c>
      <c r="AF16" s="134">
        <v>2</v>
      </c>
      <c r="AG16" s="30"/>
      <c r="AH16" s="134">
        <v>2</v>
      </c>
      <c r="AI16" s="135">
        <v>3</v>
      </c>
      <c r="AJ16" s="134">
        <v>3</v>
      </c>
      <c r="AK16" s="134">
        <v>3</v>
      </c>
      <c r="AL16" s="30"/>
      <c r="AM16" s="30"/>
      <c r="AN16" s="134">
        <v>3</v>
      </c>
      <c r="AO16" s="134">
        <v>3</v>
      </c>
      <c r="AP16" s="30"/>
      <c r="AQ16" s="134">
        <v>4</v>
      </c>
      <c r="AR16" s="134">
        <v>3</v>
      </c>
      <c r="AS16" s="134">
        <v>3</v>
      </c>
      <c r="AT16" s="30"/>
      <c r="AU16" s="30"/>
      <c r="AV16" s="134">
        <v>3</v>
      </c>
      <c r="AW16" s="134">
        <v>4</v>
      </c>
      <c r="AX16" s="30"/>
      <c r="AY16" s="134">
        <v>5</v>
      </c>
      <c r="AZ16" s="135">
        <v>4</v>
      </c>
      <c r="BA16" s="135">
        <v>4</v>
      </c>
      <c r="BB16" s="135">
        <v>4</v>
      </c>
      <c r="BC16" s="134">
        <v>4</v>
      </c>
      <c r="BD16" s="30"/>
      <c r="BE16" s="30"/>
      <c r="BF16" s="30"/>
      <c r="BG16" s="30"/>
      <c r="BH16" s="134">
        <v>3</v>
      </c>
      <c r="BI16" s="30"/>
      <c r="BJ16" s="30"/>
      <c r="BK16" s="134">
        <v>3</v>
      </c>
      <c r="BL16" s="30"/>
      <c r="BM16" s="135">
        <v>4</v>
      </c>
      <c r="BN16" s="30"/>
      <c r="BO16" s="30"/>
      <c r="BP16" s="30"/>
      <c r="BQ16" s="134">
        <v>3</v>
      </c>
      <c r="BR16" s="30"/>
      <c r="BS16" s="134">
        <v>2</v>
      </c>
      <c r="BT16" s="134">
        <v>3</v>
      </c>
      <c r="BU16" s="134">
        <v>3</v>
      </c>
      <c r="BV16" s="30"/>
      <c r="BW16" s="30"/>
      <c r="BX16" s="30"/>
      <c r="BY16" s="30"/>
      <c r="BZ16" s="30"/>
      <c r="CA16" s="30"/>
      <c r="CB16" s="30"/>
      <c r="CC16" s="30"/>
      <c r="CD16" s="30"/>
      <c r="CE16" s="30"/>
      <c r="CF16" s="30"/>
    </row>
    <row r="17" spans="2:84" x14ac:dyDescent="0.2">
      <c r="B17" s="30" t="s">
        <v>275</v>
      </c>
      <c r="C17" s="30" t="s">
        <v>97</v>
      </c>
      <c r="D17" s="30"/>
      <c r="E17" s="30"/>
      <c r="F17" s="134">
        <v>3</v>
      </c>
      <c r="G17" s="134">
        <v>4</v>
      </c>
      <c r="H17" s="30"/>
      <c r="I17" s="30"/>
      <c r="J17" s="30"/>
      <c r="K17" s="30"/>
      <c r="L17" s="30"/>
      <c r="M17" s="30"/>
      <c r="N17" s="30"/>
      <c r="O17" s="134">
        <v>5</v>
      </c>
      <c r="P17" s="30"/>
      <c r="Q17" s="134">
        <v>2</v>
      </c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135">
        <v>4</v>
      </c>
      <c r="AC17" s="135">
        <v>4</v>
      </c>
      <c r="AD17" s="134">
        <v>1</v>
      </c>
      <c r="AE17" s="30"/>
      <c r="AF17" s="30"/>
      <c r="AG17" s="134">
        <v>3</v>
      </c>
      <c r="AH17" s="134">
        <v>2</v>
      </c>
      <c r="AI17" s="30"/>
      <c r="AJ17" s="30"/>
      <c r="AK17" s="30"/>
      <c r="AL17" s="30"/>
      <c r="AM17" s="30"/>
      <c r="AN17" s="134">
        <v>3</v>
      </c>
      <c r="AO17" s="30"/>
      <c r="AP17" s="135">
        <v>5</v>
      </c>
      <c r="AQ17" s="135">
        <v>3</v>
      </c>
      <c r="AR17" s="30"/>
      <c r="AS17" s="30"/>
      <c r="AT17" s="135">
        <v>5</v>
      </c>
      <c r="AU17" s="135">
        <v>5</v>
      </c>
      <c r="AV17" s="30"/>
      <c r="AW17" s="134">
        <v>2</v>
      </c>
      <c r="AX17" s="134">
        <v>4</v>
      </c>
      <c r="AY17" s="134">
        <v>3</v>
      </c>
      <c r="AZ17" s="30"/>
      <c r="BA17" s="30"/>
      <c r="BB17" s="30"/>
      <c r="BC17" s="134">
        <v>4</v>
      </c>
      <c r="BD17" s="30"/>
      <c r="BE17" s="135">
        <v>5</v>
      </c>
      <c r="BF17" s="30"/>
      <c r="BG17" s="30"/>
      <c r="BH17" s="30"/>
      <c r="BI17" s="30"/>
      <c r="BJ17" s="30"/>
      <c r="BK17" s="30"/>
      <c r="BL17" s="30"/>
      <c r="BM17" s="30"/>
      <c r="BN17" s="30"/>
      <c r="BO17" s="30"/>
      <c r="BP17" s="30"/>
      <c r="BQ17" s="30"/>
      <c r="BR17" s="30"/>
      <c r="BS17" s="30"/>
      <c r="BT17" s="30"/>
      <c r="BU17" s="30"/>
      <c r="BV17" s="30"/>
      <c r="BW17" s="30"/>
      <c r="BX17" s="135">
        <v>4</v>
      </c>
      <c r="BY17" s="135">
        <v>4</v>
      </c>
      <c r="BZ17" s="134">
        <v>5</v>
      </c>
      <c r="CA17" s="135">
        <v>4</v>
      </c>
      <c r="CB17" s="134">
        <v>5</v>
      </c>
      <c r="CC17" s="134">
        <v>4</v>
      </c>
      <c r="CD17" s="135">
        <v>5</v>
      </c>
      <c r="CE17" s="30"/>
      <c r="CF17" s="30"/>
    </row>
    <row r="18" spans="2:84" x14ac:dyDescent="0.2">
      <c r="B18" s="30" t="s">
        <v>275</v>
      </c>
      <c r="C18" s="30" t="s">
        <v>98</v>
      </c>
      <c r="D18" s="30"/>
      <c r="E18" s="30"/>
      <c r="F18" s="134">
        <v>3</v>
      </c>
      <c r="G18" s="134">
        <v>4</v>
      </c>
      <c r="H18" s="30"/>
      <c r="I18" s="30"/>
      <c r="J18" s="30"/>
      <c r="K18" s="30"/>
      <c r="L18" s="30"/>
      <c r="M18" s="30"/>
      <c r="N18" s="30"/>
      <c r="O18" s="134">
        <v>5</v>
      </c>
      <c r="P18" s="30"/>
      <c r="Q18" s="134">
        <v>2</v>
      </c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135">
        <v>4</v>
      </c>
      <c r="AC18" s="135">
        <v>4</v>
      </c>
      <c r="AD18" s="134">
        <v>1</v>
      </c>
      <c r="AE18" s="30"/>
      <c r="AF18" s="30"/>
      <c r="AG18" s="134">
        <v>3</v>
      </c>
      <c r="AH18" s="134">
        <v>2</v>
      </c>
      <c r="AI18" s="30"/>
      <c r="AJ18" s="30"/>
      <c r="AK18" s="30"/>
      <c r="AL18" s="30"/>
      <c r="AM18" s="30"/>
      <c r="AN18" s="134">
        <v>3</v>
      </c>
      <c r="AO18" s="30"/>
      <c r="AP18" s="135">
        <v>5</v>
      </c>
      <c r="AQ18" s="135">
        <v>3</v>
      </c>
      <c r="AR18" s="30"/>
      <c r="AS18" s="30"/>
      <c r="AT18" s="135">
        <v>5</v>
      </c>
      <c r="AU18" s="135">
        <v>5</v>
      </c>
      <c r="AV18" s="30"/>
      <c r="AW18" s="134">
        <v>2</v>
      </c>
      <c r="AX18" s="134">
        <v>4</v>
      </c>
      <c r="AY18" s="134">
        <v>3</v>
      </c>
      <c r="AZ18" s="30"/>
      <c r="BA18" s="30"/>
      <c r="BB18" s="30"/>
      <c r="BC18" s="134">
        <v>4</v>
      </c>
      <c r="BD18" s="30"/>
      <c r="BE18" s="135">
        <v>5</v>
      </c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135">
        <v>5</v>
      </c>
      <c r="BY18" s="135">
        <v>6</v>
      </c>
      <c r="BZ18" s="134">
        <v>5</v>
      </c>
      <c r="CA18" s="135">
        <v>5</v>
      </c>
      <c r="CB18" s="134">
        <v>5</v>
      </c>
      <c r="CC18" s="134">
        <v>5</v>
      </c>
      <c r="CD18" s="135">
        <v>5</v>
      </c>
      <c r="CE18" s="30"/>
      <c r="CF18" s="30"/>
    </row>
    <row r="19" spans="2:84" x14ac:dyDescent="0.2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</row>
    <row r="20" spans="2:84" x14ac:dyDescent="0.2"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  <c r="BG20" s="30"/>
      <c r="BH20" s="30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</row>
    <row r="21" spans="2:84" x14ac:dyDescent="0.2"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</row>
    <row r="22" spans="2:84" x14ac:dyDescent="0.2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0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</row>
    <row r="23" spans="2:84" x14ac:dyDescent="0.2"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0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</row>
    <row r="24" spans="2:84" x14ac:dyDescent="0.2"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</row>
    <row r="25" spans="2:84" x14ac:dyDescent="0.2"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0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</row>
    <row r="26" spans="2:84" x14ac:dyDescent="0.2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0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</row>
    <row r="27" spans="2:84" x14ac:dyDescent="0.2"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</row>
    <row r="28" spans="2:84" x14ac:dyDescent="0.2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0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</row>
    <row r="29" spans="2:84" x14ac:dyDescent="0.2"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0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</row>
    <row r="30" spans="2:84" x14ac:dyDescent="0.2"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</row>
    <row r="31" spans="2:84" x14ac:dyDescent="0.2"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0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</row>
    <row r="32" spans="2:84" x14ac:dyDescent="0.2"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0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</row>
    <row r="33" spans="2:84" x14ac:dyDescent="0.2"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</row>
    <row r="34" spans="2:84" x14ac:dyDescent="0.2"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0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</row>
    <row r="35" spans="2:84" x14ac:dyDescent="0.2"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/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/>
      <c r="BD35" s="30"/>
      <c r="BE35" s="30"/>
      <c r="BF35" s="30"/>
      <c r="BG35" s="30"/>
      <c r="BH35" s="30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</row>
    <row r="36" spans="2:84" x14ac:dyDescent="0.2"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</row>
    <row r="37" spans="2:84" x14ac:dyDescent="0.2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0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</row>
    <row r="38" spans="2:84" x14ac:dyDescent="0.2"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</row>
    <row r="39" spans="2:84" x14ac:dyDescent="0.2"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</row>
    <row r="40" spans="2:84" x14ac:dyDescent="0.2"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0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</row>
    <row r="41" spans="2:84" x14ac:dyDescent="0.2"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0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</row>
    <row r="42" spans="2:84" x14ac:dyDescent="0.2"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</row>
    <row r="43" spans="2:84" x14ac:dyDescent="0.2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</row>
    <row r="44" spans="2:84" x14ac:dyDescent="0.2"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0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</row>
    <row r="45" spans="2:84" x14ac:dyDescent="0.2"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</row>
    <row r="46" spans="2:84" x14ac:dyDescent="0.2"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0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</row>
    <row r="47" spans="2:84" x14ac:dyDescent="0.2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0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</row>
    <row r="48" spans="2:84" x14ac:dyDescent="0.2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</row>
    <row r="49" spans="2:84" x14ac:dyDescent="0.2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</row>
    <row r="50" spans="2:84" x14ac:dyDescent="0.2"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0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</row>
    <row r="51" spans="2:84" x14ac:dyDescent="0.2"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</row>
    <row r="52" spans="2:84" x14ac:dyDescent="0.2"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  <c r="AS52" s="30"/>
      <c r="AT52" s="30"/>
      <c r="AU52" s="30"/>
      <c r="AV52" s="30"/>
      <c r="AW52" s="30"/>
      <c r="AX52" s="30"/>
      <c r="AY52" s="30"/>
      <c r="AZ52" s="30"/>
      <c r="BA52" s="30"/>
      <c r="BB52" s="30"/>
      <c r="BC52" s="30"/>
      <c r="BD52" s="30"/>
      <c r="BE52" s="30"/>
      <c r="BF52" s="30"/>
      <c r="BG52" s="30"/>
      <c r="BH52" s="30"/>
      <c r="BI52" s="30"/>
      <c r="BJ52" s="30"/>
      <c r="BK52" s="30"/>
      <c r="BL52" s="30"/>
      <c r="BM52" s="30"/>
      <c r="BN52" s="30"/>
      <c r="BO52" s="30"/>
      <c r="BP52" s="30"/>
      <c r="BQ52" s="30"/>
      <c r="BR52" s="30"/>
      <c r="BS52" s="30"/>
      <c r="BT52" s="30"/>
      <c r="BU52" s="30"/>
      <c r="BV52" s="30"/>
      <c r="BW52" s="30"/>
      <c r="BX52" s="30"/>
      <c r="BY52" s="30"/>
      <c r="BZ52" s="30"/>
      <c r="CA52" s="30"/>
      <c r="CB52" s="30"/>
      <c r="CC52" s="30"/>
      <c r="CD52" s="30"/>
      <c r="CE52" s="30"/>
      <c r="CF52" s="30"/>
    </row>
    <row r="53" spans="2:84" x14ac:dyDescent="0.2"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  <c r="AS53" s="30"/>
      <c r="AT53" s="30"/>
      <c r="AU53" s="30"/>
      <c r="AV53" s="30"/>
      <c r="AW53" s="30"/>
      <c r="AX53" s="30"/>
      <c r="AY53" s="30"/>
      <c r="AZ53" s="30"/>
      <c r="BA53" s="30"/>
      <c r="BB53" s="30"/>
      <c r="BC53" s="30"/>
      <c r="BD53" s="30"/>
      <c r="BE53" s="30"/>
      <c r="BF53" s="30"/>
      <c r="BG53" s="30"/>
      <c r="BH53" s="30"/>
      <c r="BI53" s="30"/>
      <c r="BJ53" s="30"/>
      <c r="BK53" s="30"/>
      <c r="BL53" s="30"/>
      <c r="BM53" s="30"/>
      <c r="BN53" s="30"/>
      <c r="BO53" s="30"/>
      <c r="BP53" s="30"/>
      <c r="BQ53" s="30"/>
      <c r="BR53" s="30"/>
      <c r="BS53" s="30"/>
      <c r="BT53" s="30"/>
      <c r="BU53" s="30"/>
      <c r="BV53" s="30"/>
      <c r="BW53" s="30"/>
      <c r="BX53" s="30"/>
      <c r="BY53" s="30"/>
      <c r="BZ53" s="30"/>
      <c r="CA53" s="30"/>
      <c r="CB53" s="30"/>
      <c r="CC53" s="30"/>
      <c r="CD53" s="30"/>
      <c r="CE53" s="30"/>
      <c r="CF53" s="30"/>
    </row>
    <row r="54" spans="2:84" x14ac:dyDescent="0.2"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  <c r="AS54" s="30"/>
      <c r="AT54" s="30"/>
      <c r="AU54" s="30"/>
      <c r="AV54" s="30"/>
      <c r="AW54" s="30"/>
      <c r="AX54" s="30"/>
      <c r="AY54" s="30"/>
      <c r="AZ54" s="30"/>
      <c r="BA54" s="30"/>
      <c r="BB54" s="30"/>
      <c r="BC54" s="30"/>
      <c r="BD54" s="30"/>
      <c r="BE54" s="30"/>
      <c r="BF54" s="30"/>
      <c r="BG54" s="30"/>
      <c r="BH54" s="30"/>
      <c r="BI54" s="30"/>
      <c r="BJ54" s="30"/>
      <c r="BK54" s="30"/>
      <c r="BL54" s="30"/>
      <c r="BM54" s="30"/>
      <c r="BN54" s="30"/>
      <c r="BO54" s="30"/>
      <c r="BP54" s="30"/>
      <c r="BQ54" s="30"/>
      <c r="BR54" s="30"/>
      <c r="BS54" s="30"/>
      <c r="BT54" s="30"/>
      <c r="BU54" s="30"/>
      <c r="BV54" s="30"/>
      <c r="BW54" s="30"/>
      <c r="BX54" s="30"/>
      <c r="BY54" s="30"/>
      <c r="BZ54" s="30"/>
      <c r="CA54" s="30"/>
      <c r="CB54" s="30"/>
      <c r="CC54" s="30"/>
      <c r="CD54" s="30"/>
      <c r="CE54" s="30"/>
      <c r="CF54" s="30"/>
    </row>
    <row r="55" spans="2:84" x14ac:dyDescent="0.2"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  <c r="AS55" s="30"/>
      <c r="AT55" s="30"/>
      <c r="AU55" s="30"/>
      <c r="AV55" s="30"/>
      <c r="AW55" s="30"/>
      <c r="AX55" s="30"/>
      <c r="AY55" s="30"/>
      <c r="AZ55" s="30"/>
      <c r="BA55" s="30"/>
      <c r="BB55" s="30"/>
      <c r="BC55" s="30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/>
      <c r="BR55" s="30"/>
      <c r="BS55" s="30"/>
      <c r="BT55" s="30"/>
      <c r="BU55" s="30"/>
      <c r="BV55" s="30"/>
      <c r="BW55" s="30"/>
      <c r="BX55" s="30"/>
      <c r="BY55" s="30"/>
      <c r="BZ55" s="30"/>
      <c r="CA55" s="30"/>
      <c r="CB55" s="30"/>
      <c r="CC55" s="30"/>
      <c r="CD55" s="30"/>
      <c r="CE55" s="30"/>
      <c r="CF55" s="30"/>
    </row>
    <row r="56" spans="2:84" x14ac:dyDescent="0.2"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  <c r="AS56" s="30"/>
      <c r="AT56" s="30"/>
      <c r="AU56" s="30"/>
      <c r="AV56" s="30"/>
      <c r="AW56" s="30"/>
      <c r="AX56" s="30"/>
      <c r="AY56" s="30"/>
      <c r="AZ56" s="30"/>
      <c r="BA56" s="30"/>
      <c r="BB56" s="30"/>
      <c r="BC56" s="30"/>
      <c r="BD56" s="30"/>
      <c r="BE56" s="30"/>
      <c r="BF56" s="30"/>
      <c r="BG56" s="30"/>
      <c r="BH56" s="30"/>
      <c r="BI56" s="30"/>
      <c r="BJ56" s="30"/>
      <c r="BK56" s="30"/>
      <c r="BL56" s="30"/>
      <c r="BM56" s="30"/>
      <c r="BN56" s="30"/>
      <c r="BO56" s="30"/>
      <c r="BP56" s="30"/>
      <c r="BQ56" s="30"/>
      <c r="BR56" s="30"/>
      <c r="BS56" s="30"/>
      <c r="BT56" s="30"/>
      <c r="BU56" s="30"/>
      <c r="BV56" s="30"/>
      <c r="BW56" s="30"/>
      <c r="BX56" s="30"/>
      <c r="BY56" s="30"/>
      <c r="BZ56" s="30"/>
      <c r="CA56" s="30"/>
      <c r="CB56" s="30"/>
      <c r="CC56" s="30"/>
      <c r="CD56" s="30"/>
      <c r="CE56" s="30"/>
      <c r="CF56" s="30"/>
    </row>
    <row r="57" spans="2:84" x14ac:dyDescent="0.2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  <c r="AS57" s="30"/>
      <c r="AT57" s="30"/>
      <c r="AU57" s="30"/>
      <c r="AV57" s="30"/>
      <c r="AW57" s="30"/>
      <c r="AX57" s="30"/>
      <c r="AY57" s="30"/>
      <c r="AZ57" s="30"/>
      <c r="BA57" s="30"/>
      <c r="BB57" s="30"/>
      <c r="BC57" s="30"/>
      <c r="BD57" s="30"/>
      <c r="BE57" s="30"/>
      <c r="BF57" s="30"/>
      <c r="BG57" s="30"/>
      <c r="BH57" s="30"/>
      <c r="BI57" s="30"/>
      <c r="BJ57" s="30"/>
      <c r="BK57" s="30"/>
      <c r="BL57" s="30"/>
      <c r="BM57" s="30"/>
      <c r="BN57" s="30"/>
      <c r="BO57" s="30"/>
      <c r="BP57" s="30"/>
      <c r="BQ57" s="30"/>
      <c r="BR57" s="30"/>
      <c r="BS57" s="30"/>
      <c r="BT57" s="30"/>
      <c r="BU57" s="30"/>
      <c r="BV57" s="30"/>
      <c r="BW57" s="30"/>
      <c r="BX57" s="30"/>
      <c r="BY57" s="30"/>
      <c r="BZ57" s="30"/>
      <c r="CA57" s="30"/>
      <c r="CB57" s="30"/>
      <c r="CC57" s="30"/>
      <c r="CD57" s="30"/>
      <c r="CE57" s="30"/>
      <c r="CF57" s="30"/>
    </row>
    <row r="58" spans="2:84" x14ac:dyDescent="0.2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  <c r="AS58" s="30"/>
      <c r="AT58" s="30"/>
      <c r="AU58" s="30"/>
      <c r="AV58" s="30"/>
      <c r="AW58" s="30"/>
      <c r="AX58" s="30"/>
      <c r="AY58" s="30"/>
      <c r="AZ58" s="30"/>
      <c r="BA58" s="30"/>
      <c r="BB58" s="30"/>
      <c r="BC58" s="30"/>
      <c r="BD58" s="30"/>
      <c r="BE58" s="30"/>
      <c r="BF58" s="30"/>
      <c r="BG58" s="30"/>
      <c r="BH58" s="30"/>
      <c r="BI58" s="30"/>
      <c r="BJ58" s="30"/>
      <c r="BK58" s="30"/>
      <c r="BL58" s="30"/>
      <c r="BM58" s="30"/>
      <c r="BN58" s="30"/>
      <c r="BO58" s="30"/>
      <c r="BP58" s="30"/>
      <c r="BQ58" s="30"/>
      <c r="BR58" s="30"/>
      <c r="BS58" s="30"/>
      <c r="BT58" s="30"/>
      <c r="BU58" s="30"/>
      <c r="BV58" s="30"/>
      <c r="BW58" s="30"/>
      <c r="BX58" s="30"/>
      <c r="BY58" s="30"/>
      <c r="BZ58" s="30"/>
      <c r="CA58" s="30"/>
      <c r="CB58" s="30"/>
      <c r="CC58" s="30"/>
      <c r="CD58" s="30"/>
      <c r="CE58" s="30"/>
      <c r="CF58" s="30"/>
    </row>
    <row r="59" spans="2:84" x14ac:dyDescent="0.2"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  <c r="AS59" s="30"/>
      <c r="AT59" s="30"/>
      <c r="AU59" s="30"/>
      <c r="AV59" s="30"/>
      <c r="AW59" s="30"/>
      <c r="AX59" s="30"/>
      <c r="AY59" s="30"/>
      <c r="AZ59" s="30"/>
      <c r="BA59" s="30"/>
      <c r="BB59" s="30"/>
      <c r="BC59" s="30"/>
      <c r="BD59" s="30"/>
      <c r="BE59" s="30"/>
      <c r="BF59" s="30"/>
      <c r="BG59" s="30"/>
      <c r="BH59" s="30"/>
      <c r="BI59" s="30"/>
      <c r="BJ59" s="30"/>
      <c r="BK59" s="30"/>
      <c r="BL59" s="30"/>
      <c r="BM59" s="30"/>
      <c r="BN59" s="30"/>
      <c r="BO59" s="30"/>
      <c r="BP59" s="30"/>
      <c r="BQ59" s="30"/>
      <c r="BR59" s="30"/>
      <c r="BS59" s="30"/>
      <c r="BT59" s="30"/>
      <c r="BU59" s="30"/>
      <c r="BV59" s="30"/>
      <c r="BW59" s="30"/>
      <c r="BX59" s="30"/>
      <c r="BY59" s="30"/>
      <c r="BZ59" s="30"/>
      <c r="CA59" s="30"/>
      <c r="CB59" s="30"/>
      <c r="CC59" s="30"/>
      <c r="CD59" s="30"/>
      <c r="CE59" s="30"/>
      <c r="CF59" s="30"/>
    </row>
    <row r="60" spans="2:84" x14ac:dyDescent="0.2"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  <c r="AS60" s="30"/>
      <c r="AT60" s="30"/>
      <c r="AU60" s="30"/>
      <c r="AV60" s="30"/>
      <c r="AW60" s="30"/>
      <c r="AX60" s="30"/>
      <c r="AY60" s="30"/>
      <c r="AZ60" s="30"/>
      <c r="BA60" s="30"/>
      <c r="BB60" s="30"/>
      <c r="BC60" s="30"/>
      <c r="BD60" s="30"/>
      <c r="BE60" s="30"/>
      <c r="BF60" s="30"/>
      <c r="BG60" s="30"/>
      <c r="BH60" s="30"/>
      <c r="BI60" s="30"/>
      <c r="BJ60" s="30"/>
      <c r="BK60" s="30"/>
      <c r="BL60" s="30"/>
      <c r="BM60" s="30"/>
      <c r="BN60" s="30"/>
      <c r="BO60" s="30"/>
      <c r="BP60" s="30"/>
      <c r="BQ60" s="30"/>
      <c r="BR60" s="30"/>
      <c r="BS60" s="30"/>
      <c r="BT60" s="30"/>
      <c r="BU60" s="30"/>
      <c r="BV60" s="30"/>
      <c r="BW60" s="30"/>
      <c r="BX60" s="30"/>
      <c r="BY60" s="30"/>
      <c r="BZ60" s="30"/>
      <c r="CA60" s="30"/>
      <c r="CB60" s="30"/>
      <c r="CC60" s="30"/>
      <c r="CD60" s="30"/>
      <c r="CE60" s="30"/>
      <c r="CF60" s="30"/>
    </row>
  </sheetData>
  <dataConsolidate link="1"/>
  <mergeCells count="13">
    <mergeCell ref="CE1:CE7"/>
    <mergeCell ref="C2:C7"/>
    <mergeCell ref="D1:D7"/>
    <mergeCell ref="E10:O10"/>
    <mergeCell ref="P10:AA10"/>
    <mergeCell ref="AB10:AD10"/>
    <mergeCell ref="AE10:AL10"/>
    <mergeCell ref="AM10:AW10"/>
    <mergeCell ref="AX10:BE10"/>
    <mergeCell ref="BF10:BL10"/>
    <mergeCell ref="BM10:BN10"/>
    <mergeCell ref="BO10:BW10"/>
    <mergeCell ref="BX10:CD10"/>
  </mergeCells>
  <phoneticPr fontId="4" type="noConversion"/>
  <pageMargins left="0.75" right="0.75" top="1" bottom="1" header="0.5" footer="0.5"/>
  <pageSetup orientation="portrait" verticalDpi="1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7" r:id="rId4" name="Button 11">
              <controlPr defaultSize="0" print="0" autoFill="0" autoPict="0" macro="[0]!Main_UpdateFromData">
                <anchor>
                  <from>
                    <xdr:col>6</xdr:col>
                    <xdr:colOff>76200</xdr:colOff>
                    <xdr:row>2</xdr:row>
                    <xdr:rowOff>0</xdr:rowOff>
                  </from>
                  <to>
                    <xdr:col>17</xdr:col>
                    <xdr:colOff>47625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1155E-0FFF-4119-94A6-88A0A243F1B6}">
  <sheetPr codeName="Sheet8"/>
  <dimension ref="A1:F39"/>
  <sheetViews>
    <sheetView workbookViewId="0">
      <selection activeCell="B16" sqref="B16"/>
    </sheetView>
  </sheetViews>
  <sheetFormatPr defaultRowHeight="12.75" x14ac:dyDescent="0.2"/>
  <cols>
    <col min="1" max="1" width="17.7109375" customWidth="1"/>
    <col min="4" max="4" width="50.7109375" bestFit="1" customWidth="1"/>
    <col min="6" max="6" width="32.7109375" bestFit="1" customWidth="1"/>
  </cols>
  <sheetData>
    <row r="1" spans="1:6" x14ac:dyDescent="0.2">
      <c r="F1" t="s">
        <v>39</v>
      </c>
    </row>
    <row r="2" spans="1:6" x14ac:dyDescent="0.2">
      <c r="A2" t="s">
        <v>78</v>
      </c>
      <c r="D2" t="s">
        <v>79</v>
      </c>
      <c r="F2" t="s">
        <v>36</v>
      </c>
    </row>
    <row r="3" spans="1:6" x14ac:dyDescent="0.2">
      <c r="A3" t="s">
        <v>61</v>
      </c>
      <c r="D3" t="s">
        <v>80</v>
      </c>
      <c r="F3" t="s">
        <v>42</v>
      </c>
    </row>
    <row r="4" spans="1:6" x14ac:dyDescent="0.2">
      <c r="D4" t="s">
        <v>30</v>
      </c>
      <c r="F4" t="s">
        <v>44</v>
      </c>
    </row>
    <row r="5" spans="1:6" x14ac:dyDescent="0.2">
      <c r="D5" t="s">
        <v>81</v>
      </c>
      <c r="F5" t="s">
        <v>64</v>
      </c>
    </row>
    <row r="6" spans="1:6" x14ac:dyDescent="0.2">
      <c r="D6" t="s">
        <v>82</v>
      </c>
      <c r="F6" t="s">
        <v>56</v>
      </c>
    </row>
    <row r="7" spans="1:6" x14ac:dyDescent="0.2">
      <c r="D7" t="s">
        <v>31</v>
      </c>
    </row>
    <row r="8" spans="1:6" x14ac:dyDescent="0.2">
      <c r="D8" t="s">
        <v>83</v>
      </c>
    </row>
    <row r="9" spans="1:6" x14ac:dyDescent="0.2">
      <c r="D9" t="s">
        <v>84</v>
      </c>
    </row>
    <row r="10" spans="1:6" x14ac:dyDescent="0.2">
      <c r="D10" t="s">
        <v>85</v>
      </c>
    </row>
    <row r="11" spans="1:6" x14ac:dyDescent="0.2">
      <c r="D11" t="s">
        <v>86</v>
      </c>
    </row>
    <row r="12" spans="1:6" x14ac:dyDescent="0.2">
      <c r="D12" t="s">
        <v>87</v>
      </c>
    </row>
    <row r="13" spans="1:6" x14ac:dyDescent="0.2">
      <c r="D13" t="s">
        <v>88</v>
      </c>
    </row>
    <row r="14" spans="1:6" x14ac:dyDescent="0.2">
      <c r="D14" t="s">
        <v>89</v>
      </c>
    </row>
    <row r="15" spans="1:6" x14ac:dyDescent="0.2">
      <c r="D15" t="s">
        <v>90</v>
      </c>
    </row>
    <row r="16" spans="1:6" x14ac:dyDescent="0.2">
      <c r="D16" t="s">
        <v>91</v>
      </c>
    </row>
    <row r="17" spans="4:4" x14ac:dyDescent="0.2">
      <c r="D17" t="s">
        <v>92</v>
      </c>
    </row>
    <row r="18" spans="4:4" x14ac:dyDescent="0.2">
      <c r="D18" t="s">
        <v>93</v>
      </c>
    </row>
    <row r="19" spans="4:4" x14ac:dyDescent="0.2">
      <c r="D19" t="s">
        <v>94</v>
      </c>
    </row>
    <row r="20" spans="4:4" x14ac:dyDescent="0.2">
      <c r="D20" t="s">
        <v>95</v>
      </c>
    </row>
    <row r="21" spans="4:4" x14ac:dyDescent="0.2">
      <c r="D21" t="s">
        <v>96</v>
      </c>
    </row>
    <row r="22" spans="4:4" x14ac:dyDescent="0.2">
      <c r="D22" t="s">
        <v>97</v>
      </c>
    </row>
    <row r="23" spans="4:4" x14ac:dyDescent="0.2">
      <c r="D23" t="s">
        <v>98</v>
      </c>
    </row>
    <row r="24" spans="4:4" x14ac:dyDescent="0.2">
      <c r="D24" t="s">
        <v>99</v>
      </c>
    </row>
    <row r="25" spans="4:4" x14ac:dyDescent="0.2">
      <c r="D25" t="s">
        <v>100</v>
      </c>
    </row>
    <row r="26" spans="4:4" x14ac:dyDescent="0.2">
      <c r="D26" t="s">
        <v>101</v>
      </c>
    </row>
    <row r="27" spans="4:4" x14ac:dyDescent="0.2">
      <c r="D27" t="s">
        <v>102</v>
      </c>
    </row>
    <row r="28" spans="4:4" x14ac:dyDescent="0.2">
      <c r="D28" t="s">
        <v>103</v>
      </c>
    </row>
    <row r="29" spans="4:4" x14ac:dyDescent="0.2">
      <c r="D29" t="s">
        <v>104</v>
      </c>
    </row>
    <row r="30" spans="4:4" x14ac:dyDescent="0.2">
      <c r="D30" t="s">
        <v>105</v>
      </c>
    </row>
    <row r="31" spans="4:4" x14ac:dyDescent="0.2">
      <c r="D31" t="s">
        <v>106</v>
      </c>
    </row>
    <row r="32" spans="4:4" x14ac:dyDescent="0.2">
      <c r="D32" t="s">
        <v>107</v>
      </c>
    </row>
    <row r="33" spans="4:4" x14ac:dyDescent="0.2">
      <c r="D33" t="s">
        <v>108</v>
      </c>
    </row>
    <row r="34" spans="4:4" x14ac:dyDescent="0.2">
      <c r="D34" t="s">
        <v>109</v>
      </c>
    </row>
    <row r="35" spans="4:4" x14ac:dyDescent="0.2">
      <c r="D35" t="s">
        <v>110</v>
      </c>
    </row>
    <row r="36" spans="4:4" x14ac:dyDescent="0.2">
      <c r="D36" t="s">
        <v>111</v>
      </c>
    </row>
    <row r="37" spans="4:4" x14ac:dyDescent="0.2">
      <c r="D37" t="s">
        <v>112</v>
      </c>
    </row>
    <row r="38" spans="4:4" x14ac:dyDescent="0.2">
      <c r="D38" t="s">
        <v>113</v>
      </c>
    </row>
    <row r="39" spans="4:4" x14ac:dyDescent="0.2">
      <c r="D39" t="s">
        <v>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J53"/>
  <sheetViews>
    <sheetView tabSelected="1" topLeftCell="A8" zoomScale="85" zoomScaleNormal="85" workbookViewId="0">
      <pane xSplit="8" topLeftCell="I1" activePane="topRight" state="frozen"/>
      <selection pane="topRight" activeCell="CH8" sqref="CB8:CH10"/>
    </sheetView>
  </sheetViews>
  <sheetFormatPr defaultColWidth="8.7109375" defaultRowHeight="12.75" x14ac:dyDescent="0.2"/>
  <cols>
    <col min="1" max="1" width="6.85546875" style="9" customWidth="1"/>
    <col min="2" max="2" width="13" style="9" bestFit="1" customWidth="1"/>
    <col min="3" max="3" width="9.140625" style="9" customWidth="1"/>
    <col min="4" max="4" width="17.42578125" style="9" customWidth="1"/>
    <col min="5" max="5" width="19.85546875" style="9" customWidth="1"/>
    <col min="6" max="6" width="26.5703125" style="9" customWidth="1"/>
    <col min="7" max="7" width="12.7109375" style="9" customWidth="1"/>
    <col min="8" max="8" width="2.5703125" style="4" hidden="1" customWidth="1"/>
    <col min="9" max="86" width="2.5703125" style="4" customWidth="1"/>
    <col min="87" max="87" width="2.5703125" style="4" hidden="1" customWidth="1"/>
    <col min="88" max="88" width="37.7109375" style="9" customWidth="1"/>
    <col min="89" max="16384" width="8.7109375" style="9"/>
  </cols>
  <sheetData>
    <row r="1" spans="1:88" s="4" customFormat="1" ht="18.75" thickBot="1" x14ac:dyDescent="0.3">
      <c r="A1" s="17"/>
      <c r="B1" s="17"/>
      <c r="C1" s="104" t="s">
        <v>4</v>
      </c>
      <c r="D1" s="104"/>
      <c r="E1" s="104"/>
      <c r="F1" s="104"/>
      <c r="G1" s="15"/>
      <c r="H1" s="99" t="s">
        <v>58</v>
      </c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  <c r="BB1" s="63"/>
      <c r="BC1" s="63"/>
      <c r="BD1" s="63"/>
      <c r="BE1" s="63"/>
      <c r="BF1" s="63"/>
      <c r="BG1" s="63"/>
      <c r="BH1" s="63"/>
      <c r="BI1" s="63"/>
      <c r="BJ1" s="63"/>
      <c r="BK1" s="63"/>
      <c r="BL1" s="63"/>
      <c r="BM1" s="63"/>
      <c r="BN1" s="63"/>
      <c r="BO1" s="63"/>
      <c r="BP1" s="63"/>
      <c r="BQ1" s="63"/>
      <c r="BR1" s="63"/>
      <c r="BS1" s="63"/>
      <c r="BT1" s="63"/>
      <c r="BU1" s="63"/>
      <c r="BV1" s="63"/>
      <c r="BW1" s="63"/>
      <c r="BX1" s="63"/>
      <c r="BY1" s="63"/>
      <c r="BZ1" s="63"/>
      <c r="CA1" s="63"/>
      <c r="CB1" s="63"/>
      <c r="CC1" s="63"/>
      <c r="CD1" s="63"/>
      <c r="CE1" s="63"/>
      <c r="CF1" s="63"/>
      <c r="CG1" s="63"/>
      <c r="CH1" s="63"/>
      <c r="CI1" s="99" t="s">
        <v>58</v>
      </c>
    </row>
    <row r="2" spans="1:88" s="4" customFormat="1" ht="27" customHeight="1" x14ac:dyDescent="0.2">
      <c r="A2" s="17"/>
      <c r="B2" s="17"/>
      <c r="C2" s="105" t="s">
        <v>51</v>
      </c>
      <c r="D2" s="106"/>
      <c r="E2" s="106"/>
      <c r="F2" s="106"/>
      <c r="G2" s="107"/>
      <c r="H2" s="99"/>
      <c r="I2" s="63"/>
      <c r="J2" s="63"/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99"/>
    </row>
    <row r="3" spans="1:88" s="4" customFormat="1" ht="13.15" customHeight="1" x14ac:dyDescent="0.2">
      <c r="A3" s="17"/>
      <c r="B3" s="17"/>
      <c r="C3" s="108"/>
      <c r="D3" s="109"/>
      <c r="E3" s="109"/>
      <c r="F3" s="109"/>
      <c r="G3" s="110"/>
      <c r="H3" s="99"/>
      <c r="I3" s="63"/>
      <c r="J3" s="63"/>
      <c r="K3" s="63"/>
      <c r="L3" s="63"/>
      <c r="M3" s="63"/>
      <c r="N3" s="63"/>
      <c r="O3" s="63"/>
      <c r="P3" s="63"/>
      <c r="Q3" s="63"/>
      <c r="R3" s="63"/>
      <c r="S3" s="63"/>
      <c r="T3" s="63"/>
      <c r="U3" s="63"/>
      <c r="V3" s="63"/>
      <c r="W3" s="63"/>
      <c r="X3" s="63"/>
      <c r="Y3" s="63"/>
      <c r="Z3" s="63"/>
      <c r="AA3" s="63"/>
      <c r="AB3" s="63"/>
      <c r="AC3" s="63"/>
      <c r="AD3" s="63"/>
      <c r="AE3" s="63"/>
      <c r="AF3" s="63"/>
      <c r="AG3" s="63"/>
      <c r="AH3" s="63"/>
      <c r="AI3" s="63"/>
      <c r="AJ3" s="63"/>
      <c r="AK3" s="63"/>
      <c r="AL3" s="63"/>
      <c r="AM3" s="63"/>
      <c r="AN3" s="63"/>
      <c r="AO3" s="63"/>
      <c r="AP3" s="63"/>
      <c r="AQ3" s="63"/>
      <c r="AR3" s="63"/>
      <c r="AS3" s="63"/>
      <c r="AT3" s="63"/>
      <c r="AU3" s="63"/>
      <c r="AV3" s="63"/>
      <c r="AW3" s="63"/>
      <c r="AX3" s="63"/>
      <c r="AY3" s="63"/>
      <c r="AZ3" s="63"/>
      <c r="BA3" s="63"/>
      <c r="BB3" s="63"/>
      <c r="BC3" s="63"/>
      <c r="BD3" s="63"/>
      <c r="BE3" s="63"/>
      <c r="BF3" s="63"/>
      <c r="BG3" s="63"/>
      <c r="BH3" s="63"/>
      <c r="BI3" s="63"/>
      <c r="BJ3" s="63"/>
      <c r="BK3" s="63"/>
      <c r="BL3" s="63"/>
      <c r="BM3" s="63"/>
      <c r="BN3" s="63"/>
      <c r="BO3" s="63"/>
      <c r="BP3" s="63"/>
      <c r="BQ3" s="63"/>
      <c r="BR3" s="63"/>
      <c r="BS3" s="63"/>
      <c r="BT3" s="63"/>
      <c r="BU3" s="63"/>
      <c r="BV3" s="63"/>
      <c r="BW3" s="63"/>
      <c r="BX3" s="63"/>
      <c r="BY3" s="63"/>
      <c r="BZ3" s="63"/>
      <c r="CA3" s="63"/>
      <c r="CB3" s="63"/>
      <c r="CC3" s="63"/>
      <c r="CD3" s="63"/>
      <c r="CE3" s="63"/>
      <c r="CF3" s="63"/>
      <c r="CG3" s="63"/>
      <c r="CH3" s="63"/>
      <c r="CI3" s="99"/>
    </row>
    <row r="4" spans="1:88" s="4" customFormat="1" ht="13.15" customHeight="1" x14ac:dyDescent="0.2">
      <c r="A4" s="17"/>
      <c r="B4" s="17"/>
      <c r="C4" s="108"/>
      <c r="D4" s="109"/>
      <c r="E4" s="109"/>
      <c r="F4" s="109"/>
      <c r="G4" s="110"/>
      <c r="H4" s="99"/>
      <c r="I4" s="63"/>
      <c r="J4" s="63"/>
      <c r="K4" s="63"/>
      <c r="L4" s="63"/>
      <c r="M4" s="63"/>
      <c r="N4" s="63"/>
      <c r="O4" s="63"/>
      <c r="P4" s="63"/>
      <c r="Q4" s="63"/>
      <c r="R4" s="63"/>
      <c r="S4" s="63"/>
      <c r="T4" s="63"/>
      <c r="U4" s="63"/>
      <c r="V4" s="63"/>
      <c r="W4" s="63"/>
      <c r="X4" s="63"/>
      <c r="Y4" s="63"/>
      <c r="Z4" s="63"/>
      <c r="AA4" s="63"/>
      <c r="AB4" s="63"/>
      <c r="AC4" s="63"/>
      <c r="AD4" s="63"/>
      <c r="AE4" s="63"/>
      <c r="AF4" s="63"/>
      <c r="AG4" s="63"/>
      <c r="AH4" s="63"/>
      <c r="AI4" s="63"/>
      <c r="AJ4" s="63"/>
      <c r="AK4" s="63"/>
      <c r="AL4" s="63"/>
      <c r="AM4" s="63"/>
      <c r="AN4" s="63"/>
      <c r="AO4" s="63"/>
      <c r="AP4" s="63"/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3"/>
      <c r="CD4" s="63"/>
      <c r="CE4" s="63"/>
      <c r="CF4" s="63"/>
      <c r="CG4" s="63"/>
      <c r="CH4" s="63"/>
      <c r="CI4" s="99"/>
    </row>
    <row r="5" spans="1:88" s="4" customFormat="1" ht="13.15" customHeight="1" thickBot="1" x14ac:dyDescent="0.25">
      <c r="A5" s="17"/>
      <c r="B5" s="17"/>
      <c r="C5" s="108"/>
      <c r="D5" s="109"/>
      <c r="E5" s="109"/>
      <c r="F5" s="109"/>
      <c r="G5" s="110"/>
      <c r="H5" s="99"/>
      <c r="I5" s="63"/>
      <c r="J5" s="63"/>
      <c r="K5" s="63"/>
      <c r="L5" s="63"/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  <c r="X5" s="63"/>
      <c r="Y5" s="63"/>
      <c r="Z5" s="63"/>
      <c r="AA5" s="63"/>
      <c r="AB5" s="63"/>
      <c r="AC5" s="63"/>
      <c r="AD5" s="63"/>
      <c r="AE5" s="63"/>
      <c r="AF5" s="63"/>
      <c r="AG5" s="63"/>
      <c r="AH5" s="63"/>
      <c r="AI5" s="63"/>
      <c r="AJ5" s="63"/>
      <c r="AK5" s="63"/>
      <c r="AL5" s="63"/>
      <c r="AM5" s="63"/>
      <c r="AN5" s="63"/>
      <c r="AO5" s="63"/>
      <c r="AP5" s="63"/>
      <c r="AQ5" s="63"/>
      <c r="AR5" s="63"/>
      <c r="AS5" s="63"/>
      <c r="AT5" s="63"/>
      <c r="AU5" s="63"/>
      <c r="AV5" s="63"/>
      <c r="AW5" s="63"/>
      <c r="AX5" s="63"/>
      <c r="AY5" s="63"/>
      <c r="AZ5" s="63"/>
      <c r="BA5" s="63"/>
      <c r="BB5" s="63"/>
      <c r="BC5" s="63"/>
      <c r="BD5" s="63"/>
      <c r="BE5" s="63"/>
      <c r="BF5" s="63"/>
      <c r="BG5" s="63"/>
      <c r="BH5" s="63"/>
      <c r="BI5" s="63"/>
      <c r="BJ5" s="63"/>
      <c r="BK5" s="63"/>
      <c r="BL5" s="63"/>
      <c r="BM5" s="63"/>
      <c r="BN5" s="63"/>
      <c r="BO5" s="63"/>
      <c r="BP5" s="63"/>
      <c r="BQ5" s="63"/>
      <c r="BR5" s="63"/>
      <c r="BS5" s="63"/>
      <c r="BT5" s="63"/>
      <c r="BU5" s="63"/>
      <c r="BV5" s="63"/>
      <c r="BW5" s="63"/>
      <c r="BX5" s="63"/>
      <c r="BY5" s="63"/>
      <c r="BZ5" s="63"/>
      <c r="CA5" s="63"/>
      <c r="CB5" s="63"/>
      <c r="CC5" s="63"/>
      <c r="CD5" s="63"/>
      <c r="CE5" s="63"/>
      <c r="CF5" s="63"/>
      <c r="CG5" s="63"/>
      <c r="CH5" s="63"/>
      <c r="CI5" s="99"/>
    </row>
    <row r="6" spans="1:88" s="4" customFormat="1" ht="13.15" customHeight="1" thickBot="1" x14ac:dyDescent="0.25">
      <c r="A6" s="95"/>
      <c r="B6" s="98" t="s">
        <v>118</v>
      </c>
      <c r="C6" s="108"/>
      <c r="D6" s="109"/>
      <c r="E6" s="109"/>
      <c r="F6" s="109"/>
      <c r="G6" s="110"/>
      <c r="H6" s="99"/>
      <c r="I6" s="63"/>
      <c r="J6" s="63"/>
      <c r="K6" s="63"/>
      <c r="L6" s="63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63"/>
      <c r="AH6" s="63"/>
      <c r="AI6" s="63"/>
      <c r="AJ6" s="63"/>
      <c r="AK6" s="63"/>
      <c r="AL6" s="63"/>
      <c r="AM6" s="63"/>
      <c r="AN6" s="63"/>
      <c r="AO6" s="63"/>
      <c r="AP6" s="63"/>
      <c r="AQ6" s="63"/>
      <c r="AR6" s="63"/>
      <c r="AS6" s="63"/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3"/>
      <c r="BI6" s="63"/>
      <c r="BJ6" s="63"/>
      <c r="BK6" s="63"/>
      <c r="BL6" s="63"/>
      <c r="BM6" s="63"/>
      <c r="BN6" s="63"/>
      <c r="BO6" s="63"/>
      <c r="BP6" s="63"/>
      <c r="BQ6" s="63"/>
      <c r="BR6" s="63"/>
      <c r="BS6" s="63"/>
      <c r="BT6" s="63"/>
      <c r="BU6" s="63"/>
      <c r="BV6" s="63"/>
      <c r="BW6" s="63"/>
      <c r="BX6" s="63"/>
      <c r="BY6" s="63"/>
      <c r="BZ6" s="63"/>
      <c r="CA6" s="63"/>
      <c r="CB6" s="63"/>
      <c r="CC6" s="63"/>
      <c r="CD6" s="63"/>
      <c r="CE6" s="63"/>
      <c r="CF6" s="63"/>
      <c r="CG6" s="63"/>
      <c r="CH6" s="63"/>
      <c r="CI6" s="99"/>
    </row>
    <row r="7" spans="1:88" s="4" customFormat="1" ht="13.15" customHeight="1" thickBot="1" x14ac:dyDescent="0.25">
      <c r="A7" s="96"/>
      <c r="B7" s="97" t="s">
        <v>119</v>
      </c>
      <c r="C7" s="111"/>
      <c r="D7" s="112"/>
      <c r="E7" s="112"/>
      <c r="F7" s="112"/>
      <c r="G7" s="113"/>
      <c r="H7" s="100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100"/>
    </row>
    <row r="8" spans="1:88" ht="163.15" customHeight="1" thickBot="1" x14ac:dyDescent="0.25">
      <c r="A8" s="16"/>
      <c r="B8" s="16"/>
      <c r="C8" s="10" t="s">
        <v>29</v>
      </c>
      <c r="D8" s="10" t="s">
        <v>116</v>
      </c>
      <c r="E8" s="10" t="s">
        <v>11</v>
      </c>
      <c r="F8" s="18" t="s">
        <v>5</v>
      </c>
      <c r="G8" s="18"/>
      <c r="H8" s="53" t="s">
        <v>47</v>
      </c>
      <c r="I8" s="81" t="s">
        <v>122</v>
      </c>
      <c r="J8" s="81" t="s">
        <v>124</v>
      </c>
      <c r="K8" s="81" t="s">
        <v>126</v>
      </c>
      <c r="L8" s="81" t="s">
        <v>66</v>
      </c>
      <c r="M8" s="81" t="s">
        <v>128</v>
      </c>
      <c r="N8" s="81" t="s">
        <v>130</v>
      </c>
      <c r="O8" s="81" t="s">
        <v>132</v>
      </c>
      <c r="P8" s="81" t="s">
        <v>134</v>
      </c>
      <c r="Q8" s="81" t="s">
        <v>136</v>
      </c>
      <c r="R8" s="81" t="s">
        <v>138</v>
      </c>
      <c r="S8" s="81" t="s">
        <v>140</v>
      </c>
      <c r="T8" s="124" t="s">
        <v>142</v>
      </c>
      <c r="U8" s="124" t="s">
        <v>145</v>
      </c>
      <c r="V8" s="124" t="s">
        <v>147</v>
      </c>
      <c r="W8" s="124" t="s">
        <v>149</v>
      </c>
      <c r="X8" s="124" t="s">
        <v>151</v>
      </c>
      <c r="Y8" s="124" t="s">
        <v>153</v>
      </c>
      <c r="Z8" s="124" t="s">
        <v>155</v>
      </c>
      <c r="AA8" s="124" t="s">
        <v>157</v>
      </c>
      <c r="AB8" s="124" t="s">
        <v>159</v>
      </c>
      <c r="AC8" s="124" t="s">
        <v>161</v>
      </c>
      <c r="AD8" s="124" t="s">
        <v>163</v>
      </c>
      <c r="AE8" s="124" t="s">
        <v>165</v>
      </c>
      <c r="AF8" s="126" t="s">
        <v>167</v>
      </c>
      <c r="AG8" s="126" t="s">
        <v>170</v>
      </c>
      <c r="AH8" s="126" t="s">
        <v>172</v>
      </c>
      <c r="AI8" s="54" t="s">
        <v>174</v>
      </c>
      <c r="AJ8" s="54" t="s">
        <v>176</v>
      </c>
      <c r="AK8" s="54" t="s">
        <v>178</v>
      </c>
      <c r="AL8" s="54" t="s">
        <v>180</v>
      </c>
      <c r="AM8" s="54" t="s">
        <v>182</v>
      </c>
      <c r="AN8" s="54" t="s">
        <v>184</v>
      </c>
      <c r="AO8" s="54" t="s">
        <v>186</v>
      </c>
      <c r="AP8" s="54" t="s">
        <v>188</v>
      </c>
      <c r="AQ8" s="55" t="s">
        <v>190</v>
      </c>
      <c r="AR8" s="55" t="s">
        <v>192</v>
      </c>
      <c r="AS8" s="55" t="s">
        <v>194</v>
      </c>
      <c r="AT8" s="55" t="s">
        <v>196</v>
      </c>
      <c r="AU8" s="55" t="s">
        <v>198</v>
      </c>
      <c r="AV8" s="55" t="s">
        <v>200</v>
      </c>
      <c r="AW8" s="55" t="s">
        <v>202</v>
      </c>
      <c r="AX8" s="55" t="s">
        <v>204</v>
      </c>
      <c r="AY8" s="55" t="s">
        <v>206</v>
      </c>
      <c r="AZ8" s="55" t="s">
        <v>208</v>
      </c>
      <c r="BA8" s="55" t="s">
        <v>210</v>
      </c>
      <c r="BB8" s="56" t="s">
        <v>212</v>
      </c>
      <c r="BC8" s="56" t="s">
        <v>214</v>
      </c>
      <c r="BD8" s="56" t="s">
        <v>216</v>
      </c>
      <c r="BE8" s="56" t="s">
        <v>218</v>
      </c>
      <c r="BF8" s="56" t="s">
        <v>220</v>
      </c>
      <c r="BG8" s="56" t="s">
        <v>42</v>
      </c>
      <c r="BH8" s="56" t="s">
        <v>222</v>
      </c>
      <c r="BI8" s="56" t="s">
        <v>224</v>
      </c>
      <c r="BJ8" s="128" t="s">
        <v>226</v>
      </c>
      <c r="BK8" s="128" t="s">
        <v>229</v>
      </c>
      <c r="BL8" s="128" t="s">
        <v>231</v>
      </c>
      <c r="BM8" s="128" t="s">
        <v>233</v>
      </c>
      <c r="BN8" s="128" t="s">
        <v>235</v>
      </c>
      <c r="BO8" s="128" t="s">
        <v>237</v>
      </c>
      <c r="BP8" s="128" t="s">
        <v>239</v>
      </c>
      <c r="BQ8" s="130" t="s">
        <v>241</v>
      </c>
      <c r="BR8" s="130" t="s">
        <v>244</v>
      </c>
      <c r="BS8" s="58" t="s">
        <v>246</v>
      </c>
      <c r="BT8" s="58" t="s">
        <v>248</v>
      </c>
      <c r="BU8" s="58" t="s">
        <v>250</v>
      </c>
      <c r="BV8" s="58" t="s">
        <v>252</v>
      </c>
      <c r="BW8" s="58" t="s">
        <v>64</v>
      </c>
      <c r="BX8" s="58" t="s">
        <v>254</v>
      </c>
      <c r="BY8" s="58" t="s">
        <v>56</v>
      </c>
      <c r="BZ8" s="58" t="s">
        <v>256</v>
      </c>
      <c r="CA8" s="58" t="s">
        <v>258</v>
      </c>
      <c r="CB8" s="132" t="s">
        <v>260</v>
      </c>
      <c r="CC8" s="132" t="s">
        <v>263</v>
      </c>
      <c r="CD8" s="132" t="s">
        <v>265</v>
      </c>
      <c r="CE8" s="132" t="s">
        <v>267</v>
      </c>
      <c r="CF8" s="132" t="s">
        <v>269</v>
      </c>
      <c r="CG8" s="132" t="s">
        <v>271</v>
      </c>
      <c r="CH8" s="132" t="s">
        <v>273</v>
      </c>
      <c r="CI8" s="53" t="s">
        <v>46</v>
      </c>
      <c r="CJ8" s="74" t="s">
        <v>3</v>
      </c>
    </row>
    <row r="9" spans="1:88" s="4" customFormat="1" ht="37.5" thickBot="1" x14ac:dyDescent="0.25">
      <c r="E9" s="12"/>
      <c r="F9" s="12"/>
      <c r="G9" s="12"/>
      <c r="H9" s="72"/>
      <c r="I9" s="82" t="s">
        <v>123</v>
      </c>
      <c r="J9" s="82" t="s">
        <v>125</v>
      </c>
      <c r="K9" s="82" t="s">
        <v>127</v>
      </c>
      <c r="L9" s="82" t="s">
        <v>67</v>
      </c>
      <c r="M9" s="82" t="s">
        <v>129</v>
      </c>
      <c r="N9" s="82" t="s">
        <v>131</v>
      </c>
      <c r="O9" s="82" t="s">
        <v>133</v>
      </c>
      <c r="P9" s="82" t="s">
        <v>135</v>
      </c>
      <c r="Q9" s="82" t="s">
        <v>137</v>
      </c>
      <c r="R9" s="82" t="s">
        <v>139</v>
      </c>
      <c r="S9" s="82" t="s">
        <v>141</v>
      </c>
      <c r="T9" s="125" t="s">
        <v>143</v>
      </c>
      <c r="U9" s="125" t="s">
        <v>146</v>
      </c>
      <c r="V9" s="125" t="s">
        <v>148</v>
      </c>
      <c r="W9" s="125" t="s">
        <v>150</v>
      </c>
      <c r="X9" s="125" t="s">
        <v>152</v>
      </c>
      <c r="Y9" s="125" t="s">
        <v>154</v>
      </c>
      <c r="Z9" s="125" t="s">
        <v>156</v>
      </c>
      <c r="AA9" s="125" t="s">
        <v>158</v>
      </c>
      <c r="AB9" s="125" t="s">
        <v>160</v>
      </c>
      <c r="AC9" s="125" t="s">
        <v>162</v>
      </c>
      <c r="AD9" s="125" t="s">
        <v>164</v>
      </c>
      <c r="AE9" s="125" t="s">
        <v>166</v>
      </c>
      <c r="AF9" s="127" t="s">
        <v>168</v>
      </c>
      <c r="AG9" s="127" t="s">
        <v>171</v>
      </c>
      <c r="AH9" s="127" t="s">
        <v>173</v>
      </c>
      <c r="AI9" s="66" t="s">
        <v>175</v>
      </c>
      <c r="AJ9" s="66" t="s">
        <v>177</v>
      </c>
      <c r="AK9" s="66" t="s">
        <v>179</v>
      </c>
      <c r="AL9" s="66" t="s">
        <v>181</v>
      </c>
      <c r="AM9" s="66" t="s">
        <v>183</v>
      </c>
      <c r="AN9" s="66" t="s">
        <v>185</v>
      </c>
      <c r="AO9" s="66" t="s">
        <v>187</v>
      </c>
      <c r="AP9" s="66" t="s">
        <v>189</v>
      </c>
      <c r="AQ9" s="67" t="s">
        <v>191</v>
      </c>
      <c r="AR9" s="67" t="s">
        <v>193</v>
      </c>
      <c r="AS9" s="67" t="s">
        <v>195</v>
      </c>
      <c r="AT9" s="67" t="s">
        <v>197</v>
      </c>
      <c r="AU9" s="67" t="s">
        <v>199</v>
      </c>
      <c r="AV9" s="67" t="s">
        <v>201</v>
      </c>
      <c r="AW9" s="67" t="s">
        <v>203</v>
      </c>
      <c r="AX9" s="67" t="s">
        <v>205</v>
      </c>
      <c r="AY9" s="67" t="s">
        <v>207</v>
      </c>
      <c r="AZ9" s="67" t="s">
        <v>209</v>
      </c>
      <c r="BA9" s="67" t="s">
        <v>211</v>
      </c>
      <c r="BB9" s="76" t="s">
        <v>213</v>
      </c>
      <c r="BC9" s="76" t="s">
        <v>215</v>
      </c>
      <c r="BD9" s="76" t="s">
        <v>217</v>
      </c>
      <c r="BE9" s="76" t="s">
        <v>219</v>
      </c>
      <c r="BF9" s="76" t="s">
        <v>221</v>
      </c>
      <c r="BG9" s="76" t="s">
        <v>41</v>
      </c>
      <c r="BH9" s="76" t="s">
        <v>223</v>
      </c>
      <c r="BI9" s="76" t="s">
        <v>225</v>
      </c>
      <c r="BJ9" s="129" t="s">
        <v>227</v>
      </c>
      <c r="BK9" s="129" t="s">
        <v>230</v>
      </c>
      <c r="BL9" s="129" t="s">
        <v>232</v>
      </c>
      <c r="BM9" s="129" t="s">
        <v>234</v>
      </c>
      <c r="BN9" s="129" t="s">
        <v>236</v>
      </c>
      <c r="BO9" s="129" t="s">
        <v>238</v>
      </c>
      <c r="BP9" s="129" t="s">
        <v>240</v>
      </c>
      <c r="BQ9" s="131" t="s">
        <v>242</v>
      </c>
      <c r="BR9" s="131" t="s">
        <v>245</v>
      </c>
      <c r="BS9" s="77" t="s">
        <v>247</v>
      </c>
      <c r="BT9" s="77" t="s">
        <v>249</v>
      </c>
      <c r="BU9" s="77" t="s">
        <v>251</v>
      </c>
      <c r="BV9" s="77" t="s">
        <v>253</v>
      </c>
      <c r="BW9" s="77" t="s">
        <v>65</v>
      </c>
      <c r="BX9" s="77" t="s">
        <v>255</v>
      </c>
      <c r="BY9" s="77" t="s">
        <v>57</v>
      </c>
      <c r="BZ9" s="77" t="s">
        <v>257</v>
      </c>
      <c r="CA9" s="77" t="s">
        <v>259</v>
      </c>
      <c r="CB9" s="133" t="s">
        <v>261</v>
      </c>
      <c r="CC9" s="133" t="s">
        <v>264</v>
      </c>
      <c r="CD9" s="133" t="s">
        <v>266</v>
      </c>
      <c r="CE9" s="133" t="s">
        <v>268</v>
      </c>
      <c r="CF9" s="133" t="s">
        <v>270</v>
      </c>
      <c r="CG9" s="133" t="s">
        <v>272</v>
      </c>
      <c r="CH9" s="133" t="s">
        <v>274</v>
      </c>
      <c r="CI9" s="72"/>
    </row>
    <row r="10" spans="1:88" s="48" customFormat="1" ht="13.5" thickBot="1" x14ac:dyDescent="0.25">
      <c r="C10" s="49"/>
      <c r="D10" s="49"/>
      <c r="E10" s="49"/>
      <c r="F10" s="49"/>
      <c r="G10" s="49"/>
      <c r="H10" s="73"/>
      <c r="I10" s="136" t="s">
        <v>68</v>
      </c>
      <c r="J10" s="137"/>
      <c r="K10" s="137"/>
      <c r="L10" s="137"/>
      <c r="M10" s="137"/>
      <c r="N10" s="137"/>
      <c r="O10" s="137"/>
      <c r="P10" s="137"/>
      <c r="Q10" s="137"/>
      <c r="R10" s="137"/>
      <c r="S10" s="138"/>
      <c r="T10" s="139" t="s">
        <v>144</v>
      </c>
      <c r="U10" s="140"/>
      <c r="V10" s="140"/>
      <c r="W10" s="140"/>
      <c r="X10" s="140"/>
      <c r="Y10" s="140"/>
      <c r="Z10" s="140"/>
      <c r="AA10" s="140"/>
      <c r="AB10" s="140"/>
      <c r="AC10" s="140"/>
      <c r="AD10" s="140"/>
      <c r="AE10" s="141"/>
      <c r="AF10" s="142" t="s">
        <v>169</v>
      </c>
      <c r="AG10" s="143"/>
      <c r="AH10" s="144"/>
      <c r="AI10" s="145" t="s">
        <v>37</v>
      </c>
      <c r="AJ10" s="146"/>
      <c r="AK10" s="146"/>
      <c r="AL10" s="146"/>
      <c r="AM10" s="146"/>
      <c r="AN10" s="146"/>
      <c r="AO10" s="146"/>
      <c r="AP10" s="147"/>
      <c r="AQ10" s="148" t="s">
        <v>32</v>
      </c>
      <c r="AR10" s="149"/>
      <c r="AS10" s="149"/>
      <c r="AT10" s="149"/>
      <c r="AU10" s="149"/>
      <c r="AV10" s="149"/>
      <c r="AW10" s="149"/>
      <c r="AX10" s="149"/>
      <c r="AY10" s="149"/>
      <c r="AZ10" s="149"/>
      <c r="BA10" s="150"/>
      <c r="BB10" s="151" t="s">
        <v>40</v>
      </c>
      <c r="BC10" s="152"/>
      <c r="BD10" s="152"/>
      <c r="BE10" s="152"/>
      <c r="BF10" s="152"/>
      <c r="BG10" s="152"/>
      <c r="BH10" s="152"/>
      <c r="BI10" s="153"/>
      <c r="BJ10" s="154" t="s">
        <v>228</v>
      </c>
      <c r="BK10" s="155"/>
      <c r="BL10" s="155"/>
      <c r="BM10" s="155"/>
      <c r="BN10" s="155"/>
      <c r="BO10" s="155"/>
      <c r="BP10" s="156"/>
      <c r="BQ10" s="157" t="s">
        <v>243</v>
      </c>
      <c r="BR10" s="158"/>
      <c r="BS10" s="159" t="s">
        <v>55</v>
      </c>
      <c r="BT10" s="160"/>
      <c r="BU10" s="160"/>
      <c r="BV10" s="160"/>
      <c r="BW10" s="160"/>
      <c r="BX10" s="160"/>
      <c r="BY10" s="160"/>
      <c r="BZ10" s="160"/>
      <c r="CA10" s="161"/>
      <c r="CB10" s="162" t="s">
        <v>262</v>
      </c>
      <c r="CC10" s="163"/>
      <c r="CD10" s="163"/>
      <c r="CE10" s="163"/>
      <c r="CF10" s="163"/>
      <c r="CG10" s="163"/>
      <c r="CH10" s="164"/>
      <c r="CI10" s="73"/>
      <c r="CJ10" s="50"/>
    </row>
    <row r="11" spans="1:88" x14ac:dyDescent="0.2"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</row>
    <row r="12" spans="1:88" ht="13.5" thickBot="1" x14ac:dyDescent="0.25">
      <c r="C12" s="8"/>
      <c r="D12" s="8"/>
      <c r="E12" s="11" t="s">
        <v>8</v>
      </c>
      <c r="F12" s="11"/>
      <c r="G12" s="11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</row>
    <row r="13" spans="1:88" ht="13.5" hidden="1" thickBot="1" x14ac:dyDescent="0.25">
      <c r="A13" s="84" t="s">
        <v>69</v>
      </c>
      <c r="B13" s="84"/>
      <c r="C13" s="90"/>
      <c r="D13" s="90"/>
      <c r="E13" s="90" t="s">
        <v>50</v>
      </c>
      <c r="F13" s="90"/>
      <c r="G13" s="90"/>
      <c r="H13" s="91"/>
      <c r="I13" s="91"/>
      <c r="J13" s="91"/>
      <c r="K13" s="91"/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  <c r="AG13" s="91"/>
      <c r="AH13" s="91"/>
      <c r="AI13" s="91"/>
      <c r="AJ13" s="91"/>
      <c r="AK13" s="91"/>
      <c r="AL13" s="91"/>
      <c r="AM13" s="91"/>
      <c r="AN13" s="91"/>
      <c r="AO13" s="91"/>
      <c r="AP13" s="91"/>
      <c r="AQ13" s="91"/>
      <c r="AR13" s="91"/>
      <c r="AS13" s="91"/>
      <c r="AT13" s="91"/>
      <c r="AU13" s="91"/>
      <c r="AV13" s="91"/>
      <c r="AW13" s="91"/>
      <c r="AX13" s="91"/>
      <c r="AY13" s="91"/>
      <c r="AZ13" s="91"/>
      <c r="BA13" s="91"/>
      <c r="BB13" s="91"/>
      <c r="BC13" s="91"/>
      <c r="BD13" s="91"/>
      <c r="BE13" s="91"/>
      <c r="BF13" s="91"/>
      <c r="BG13" s="91"/>
      <c r="BH13" s="91"/>
      <c r="BI13" s="91"/>
      <c r="BJ13" s="91"/>
      <c r="BK13" s="91"/>
      <c r="BL13" s="91"/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  <c r="BY13" s="91"/>
      <c r="BZ13" s="91"/>
      <c r="CA13" s="91"/>
      <c r="CB13" s="91"/>
      <c r="CC13" s="91"/>
      <c r="CD13" s="91"/>
      <c r="CE13" s="91"/>
      <c r="CF13" s="91"/>
      <c r="CG13" s="91"/>
      <c r="CH13" s="91"/>
      <c r="CI13" s="93"/>
      <c r="CJ13" s="92"/>
    </row>
    <row r="14" spans="1:88" ht="13.5" thickTop="1" x14ac:dyDescent="0.2">
      <c r="A14" s="84"/>
      <c r="B14" s="84"/>
      <c r="C14" s="179"/>
      <c r="D14" s="180"/>
      <c r="E14" s="180" t="s">
        <v>276</v>
      </c>
      <c r="F14" s="180" t="s">
        <v>30</v>
      </c>
      <c r="G14" s="180" t="s">
        <v>291</v>
      </c>
      <c r="H14" s="167"/>
      <c r="I14" s="168">
        <v>6</v>
      </c>
      <c r="J14" s="169">
        <v>6</v>
      </c>
      <c r="K14" s="169">
        <v>6</v>
      </c>
      <c r="L14" s="169">
        <v>6</v>
      </c>
      <c r="M14" s="169">
        <v>6</v>
      </c>
      <c r="N14" s="168">
        <v>6</v>
      </c>
      <c r="O14" s="168">
        <v>6</v>
      </c>
      <c r="P14" s="168">
        <v>6</v>
      </c>
      <c r="Q14" s="168">
        <v>6</v>
      </c>
      <c r="R14" s="168">
        <v>6</v>
      </c>
      <c r="S14" s="169">
        <v>6</v>
      </c>
      <c r="T14" s="169">
        <v>6</v>
      </c>
      <c r="U14" s="168">
        <v>5</v>
      </c>
      <c r="V14" s="169">
        <v>5</v>
      </c>
      <c r="W14" s="168">
        <v>4</v>
      </c>
      <c r="X14" s="169">
        <v>5</v>
      </c>
      <c r="Y14" s="168">
        <v>5</v>
      </c>
      <c r="Z14" s="168">
        <v>5</v>
      </c>
      <c r="AA14" s="168">
        <v>6</v>
      </c>
      <c r="AB14" s="168">
        <v>4</v>
      </c>
      <c r="AC14" s="169">
        <v>4</v>
      </c>
      <c r="AD14" s="169">
        <v>6</v>
      </c>
      <c r="AE14" s="170"/>
      <c r="AF14" s="169">
        <v>5</v>
      </c>
      <c r="AG14" s="169">
        <v>5</v>
      </c>
      <c r="AH14" s="168">
        <v>4</v>
      </c>
      <c r="AI14" s="168">
        <v>4</v>
      </c>
      <c r="AJ14" s="168">
        <v>4</v>
      </c>
      <c r="AK14" s="170"/>
      <c r="AL14" s="170"/>
      <c r="AM14" s="169">
        <v>5</v>
      </c>
      <c r="AN14" s="168">
        <v>5</v>
      </c>
      <c r="AO14" s="168">
        <v>5</v>
      </c>
      <c r="AP14" s="168">
        <v>5</v>
      </c>
      <c r="AQ14" s="168">
        <v>4</v>
      </c>
      <c r="AR14" s="168">
        <v>6</v>
      </c>
      <c r="AS14" s="168">
        <v>5</v>
      </c>
      <c r="AT14" s="170"/>
      <c r="AU14" s="168">
        <v>4</v>
      </c>
      <c r="AV14" s="168">
        <v>5</v>
      </c>
      <c r="AW14" s="168">
        <v>5</v>
      </c>
      <c r="AX14" s="170"/>
      <c r="AY14" s="170"/>
      <c r="AZ14" s="168">
        <v>5</v>
      </c>
      <c r="BA14" s="168">
        <v>5</v>
      </c>
      <c r="BB14" s="170"/>
      <c r="BC14" s="168">
        <v>6</v>
      </c>
      <c r="BD14" s="169">
        <v>6</v>
      </c>
      <c r="BE14" s="169">
        <v>6</v>
      </c>
      <c r="BF14" s="169">
        <v>6</v>
      </c>
      <c r="BG14" s="168">
        <v>4</v>
      </c>
      <c r="BH14" s="168">
        <v>5</v>
      </c>
      <c r="BI14" s="170"/>
      <c r="BJ14" s="168">
        <v>5</v>
      </c>
      <c r="BK14" s="168">
        <v>5</v>
      </c>
      <c r="BL14" s="168">
        <v>5</v>
      </c>
      <c r="BM14" s="168">
        <v>6</v>
      </c>
      <c r="BN14" s="168">
        <v>5</v>
      </c>
      <c r="BO14" s="168">
        <v>5</v>
      </c>
      <c r="BP14" s="168">
        <v>6</v>
      </c>
      <c r="BQ14" s="169">
        <v>6</v>
      </c>
      <c r="BR14" s="168">
        <v>5</v>
      </c>
      <c r="BS14" s="168">
        <v>3</v>
      </c>
      <c r="BT14" s="168">
        <v>5</v>
      </c>
      <c r="BU14" s="168">
        <v>5</v>
      </c>
      <c r="BV14" s="168">
        <v>5</v>
      </c>
      <c r="BW14" s="168">
        <v>3</v>
      </c>
      <c r="BX14" s="168">
        <v>6</v>
      </c>
      <c r="BY14" s="168">
        <v>5</v>
      </c>
      <c r="BZ14" s="168">
        <v>6</v>
      </c>
      <c r="CA14" s="168">
        <v>4</v>
      </c>
      <c r="CB14" s="170"/>
      <c r="CC14" s="170"/>
      <c r="CD14" s="170"/>
      <c r="CE14" s="170"/>
      <c r="CF14" s="170"/>
      <c r="CG14" s="170"/>
      <c r="CH14" s="170"/>
      <c r="CI14" s="181"/>
      <c r="CJ14" s="171"/>
    </row>
    <row r="15" spans="1:88" x14ac:dyDescent="0.2">
      <c r="C15" s="172"/>
      <c r="D15" s="173" t="s">
        <v>275</v>
      </c>
      <c r="E15" s="173" t="s">
        <v>276</v>
      </c>
      <c r="F15" s="173" t="s">
        <v>30</v>
      </c>
      <c r="G15" s="173" t="s">
        <v>277</v>
      </c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  <c r="AR15" s="30"/>
      <c r="AS15" s="30"/>
      <c r="AT15" s="30"/>
      <c r="AU15" s="30"/>
      <c r="AV15" s="30"/>
      <c r="AW15" s="30"/>
      <c r="AX15" s="30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L15" s="30"/>
      <c r="BM15" s="30"/>
      <c r="BN15" s="30"/>
      <c r="BO15" s="30"/>
      <c r="BP15" s="30"/>
      <c r="BQ15" s="30"/>
      <c r="BR15" s="30"/>
      <c r="BS15" s="30"/>
      <c r="BT15" s="30"/>
      <c r="BU15" s="30"/>
      <c r="BV15" s="30"/>
      <c r="BW15" s="30"/>
      <c r="BX15" s="30"/>
      <c r="BY15" s="30"/>
      <c r="BZ15" s="30"/>
      <c r="CA15" s="30"/>
      <c r="CB15" s="30"/>
      <c r="CC15" s="30"/>
      <c r="CD15" s="30"/>
      <c r="CE15" s="30"/>
      <c r="CF15" s="30"/>
      <c r="CG15" s="30"/>
      <c r="CH15" s="30"/>
      <c r="CI15" s="30"/>
      <c r="CJ15" s="174"/>
    </row>
    <row r="16" spans="1:88" ht="13.5" thickBot="1" x14ac:dyDescent="0.25">
      <c r="C16" s="175"/>
      <c r="D16" s="176"/>
      <c r="E16" s="176" t="s">
        <v>276</v>
      </c>
      <c r="F16" s="176" t="s">
        <v>30</v>
      </c>
      <c r="G16" s="176" t="s">
        <v>292</v>
      </c>
      <c r="H16" s="177"/>
      <c r="I16" s="177">
        <f>IF(I14&lt;&gt;"",I14-I15,"")</f>
        <v>6</v>
      </c>
      <c r="J16" s="177">
        <f>IF(J14&lt;&gt;"",J14-J15,"")</f>
        <v>6</v>
      </c>
      <c r="K16" s="177">
        <f>IF(K14&lt;&gt;"",K14-K15,"")</f>
        <v>6</v>
      </c>
      <c r="L16" s="177">
        <f>IF(L14&lt;&gt;"",L14-L15,"")</f>
        <v>6</v>
      </c>
      <c r="M16" s="177">
        <f>IF(M14&lt;&gt;"",M14-M15,"")</f>
        <v>6</v>
      </c>
      <c r="N16" s="177">
        <f>IF(N14&lt;&gt;"",N14-N15,"")</f>
        <v>6</v>
      </c>
      <c r="O16" s="177">
        <f>IF(O14&lt;&gt;"",O14-O15,"")</f>
        <v>6</v>
      </c>
      <c r="P16" s="177">
        <f>IF(P14&lt;&gt;"",P14-P15,"")</f>
        <v>6</v>
      </c>
      <c r="Q16" s="177">
        <f>IF(Q14&lt;&gt;"",Q14-Q15,"")</f>
        <v>6</v>
      </c>
      <c r="R16" s="177">
        <f>IF(R14&lt;&gt;"",R14-R15,"")</f>
        <v>6</v>
      </c>
      <c r="S16" s="177">
        <f>IF(S14&lt;&gt;"",S14-S15,"")</f>
        <v>6</v>
      </c>
      <c r="T16" s="177">
        <f>IF(T14&lt;&gt;"",T14-T15,"")</f>
        <v>6</v>
      </c>
      <c r="U16" s="177">
        <f>IF(U14&lt;&gt;"",U14-U15,"")</f>
        <v>5</v>
      </c>
      <c r="V16" s="177">
        <f>IF(V14&lt;&gt;"",V14-V15,"")</f>
        <v>5</v>
      </c>
      <c r="W16" s="177">
        <f>IF(W14&lt;&gt;"",W14-W15,"")</f>
        <v>4</v>
      </c>
      <c r="X16" s="177">
        <f>IF(X14&lt;&gt;"",X14-X15,"")</f>
        <v>5</v>
      </c>
      <c r="Y16" s="177">
        <f>IF(Y14&lt;&gt;"",Y14-Y15,"")</f>
        <v>5</v>
      </c>
      <c r="Z16" s="177">
        <f>IF(Z14&lt;&gt;"",Z14-Z15,"")</f>
        <v>5</v>
      </c>
      <c r="AA16" s="177">
        <f>IF(AA14&lt;&gt;"",AA14-AA15,"")</f>
        <v>6</v>
      </c>
      <c r="AB16" s="177">
        <f>IF(AB14&lt;&gt;"",AB14-AB15,"")</f>
        <v>4</v>
      </c>
      <c r="AC16" s="177">
        <f>IF(AC14&lt;&gt;"",AC14-AC15,"")</f>
        <v>4</v>
      </c>
      <c r="AD16" s="177">
        <f>IF(AD14&lt;&gt;"",AD14-AD15,"")</f>
        <v>6</v>
      </c>
      <c r="AE16" s="177" t="str">
        <f>IF(AE14&lt;&gt;"",AE14-AE15,"")</f>
        <v/>
      </c>
      <c r="AF16" s="177">
        <f>IF(AF14&lt;&gt;"",AF14-AF15,"")</f>
        <v>5</v>
      </c>
      <c r="AG16" s="177">
        <f>IF(AG14&lt;&gt;"",AG14-AG15,"")</f>
        <v>5</v>
      </c>
      <c r="AH16" s="177">
        <f>IF(AH14&lt;&gt;"",AH14-AH15,"")</f>
        <v>4</v>
      </c>
      <c r="AI16" s="177">
        <f>IF(AI14&lt;&gt;"",AI14-AI15,"")</f>
        <v>4</v>
      </c>
      <c r="AJ16" s="177">
        <f>IF(AJ14&lt;&gt;"",AJ14-AJ15,"")</f>
        <v>4</v>
      </c>
      <c r="AK16" s="177" t="str">
        <f>IF(AK14&lt;&gt;"",AK14-AK15,"")</f>
        <v/>
      </c>
      <c r="AL16" s="177" t="str">
        <f>IF(AL14&lt;&gt;"",AL14-AL15,"")</f>
        <v/>
      </c>
      <c r="AM16" s="177">
        <f>IF(AM14&lt;&gt;"",AM14-AM15,"")</f>
        <v>5</v>
      </c>
      <c r="AN16" s="177">
        <f>IF(AN14&lt;&gt;"",AN14-AN15,"")</f>
        <v>5</v>
      </c>
      <c r="AO16" s="177">
        <f>IF(AO14&lt;&gt;"",AO14-AO15,"")</f>
        <v>5</v>
      </c>
      <c r="AP16" s="177">
        <f>IF(AP14&lt;&gt;"",AP14-AP15,"")</f>
        <v>5</v>
      </c>
      <c r="AQ16" s="177">
        <f>IF(AQ14&lt;&gt;"",AQ14-AQ15,"")</f>
        <v>4</v>
      </c>
      <c r="AR16" s="177">
        <f>IF(AR14&lt;&gt;"",AR14-AR15,"")</f>
        <v>6</v>
      </c>
      <c r="AS16" s="177">
        <f>IF(AS14&lt;&gt;"",AS14-AS15,"")</f>
        <v>5</v>
      </c>
      <c r="AT16" s="177" t="str">
        <f>IF(AT14&lt;&gt;"",AT14-AT15,"")</f>
        <v/>
      </c>
      <c r="AU16" s="177">
        <f>IF(AU14&lt;&gt;"",AU14-AU15,"")</f>
        <v>4</v>
      </c>
      <c r="AV16" s="177">
        <f>IF(AV14&lt;&gt;"",AV14-AV15,"")</f>
        <v>5</v>
      </c>
      <c r="AW16" s="177">
        <f>IF(AW14&lt;&gt;"",AW14-AW15,"")</f>
        <v>5</v>
      </c>
      <c r="AX16" s="177" t="str">
        <f>IF(AX14&lt;&gt;"",AX14-AX15,"")</f>
        <v/>
      </c>
      <c r="AY16" s="177" t="str">
        <f>IF(AY14&lt;&gt;"",AY14-AY15,"")</f>
        <v/>
      </c>
      <c r="AZ16" s="177">
        <f>IF(AZ14&lt;&gt;"",AZ14-AZ15,"")</f>
        <v>5</v>
      </c>
      <c r="BA16" s="177">
        <f>IF(BA14&lt;&gt;"",BA14-BA15,"")</f>
        <v>5</v>
      </c>
      <c r="BB16" s="177" t="str">
        <f>IF(BB14&lt;&gt;"",BB14-BB15,"")</f>
        <v/>
      </c>
      <c r="BC16" s="177">
        <f>IF(BC14&lt;&gt;"",BC14-BC15,"")</f>
        <v>6</v>
      </c>
      <c r="BD16" s="177">
        <f>IF(BD14&lt;&gt;"",BD14-BD15,"")</f>
        <v>6</v>
      </c>
      <c r="BE16" s="177">
        <f>IF(BE14&lt;&gt;"",BE14-BE15,"")</f>
        <v>6</v>
      </c>
      <c r="BF16" s="177">
        <f>IF(BF14&lt;&gt;"",BF14-BF15,"")</f>
        <v>6</v>
      </c>
      <c r="BG16" s="177">
        <f>IF(BG14&lt;&gt;"",BG14-BG15,"")</f>
        <v>4</v>
      </c>
      <c r="BH16" s="177">
        <f>IF(BH14&lt;&gt;"",BH14-BH15,"")</f>
        <v>5</v>
      </c>
      <c r="BI16" s="177" t="str">
        <f>IF(BI14&lt;&gt;"",BI14-BI15,"")</f>
        <v/>
      </c>
      <c r="BJ16" s="177">
        <f>IF(BJ14&lt;&gt;"",BJ14-BJ15,"")</f>
        <v>5</v>
      </c>
      <c r="BK16" s="177">
        <f>IF(BK14&lt;&gt;"",BK14-BK15,"")</f>
        <v>5</v>
      </c>
      <c r="BL16" s="177">
        <f>IF(BL14&lt;&gt;"",BL14-BL15,"")</f>
        <v>5</v>
      </c>
      <c r="BM16" s="177">
        <f>IF(BM14&lt;&gt;"",BM14-BM15,"")</f>
        <v>6</v>
      </c>
      <c r="BN16" s="177">
        <f>IF(BN14&lt;&gt;"",BN14-BN15,"")</f>
        <v>5</v>
      </c>
      <c r="BO16" s="177">
        <f>IF(BO14&lt;&gt;"",BO14-BO15,"")</f>
        <v>5</v>
      </c>
      <c r="BP16" s="177">
        <f>IF(BP14&lt;&gt;"",BP14-BP15,"")</f>
        <v>6</v>
      </c>
      <c r="BQ16" s="177">
        <f>IF(BQ14&lt;&gt;"",BQ14-BQ15,"")</f>
        <v>6</v>
      </c>
      <c r="BR16" s="177">
        <f>IF(BR14&lt;&gt;"",BR14-BR15,"")</f>
        <v>5</v>
      </c>
      <c r="BS16" s="177">
        <f>IF(BS14&lt;&gt;"",BS14-BS15,"")</f>
        <v>3</v>
      </c>
      <c r="BT16" s="177">
        <f>IF(BT14&lt;&gt;"",BT14-BT15,"")</f>
        <v>5</v>
      </c>
      <c r="BU16" s="177">
        <f>IF(BU14&lt;&gt;"",BU14-BU15,"")</f>
        <v>5</v>
      </c>
      <c r="BV16" s="177">
        <f>IF(BV14&lt;&gt;"",BV14-BV15,"")</f>
        <v>5</v>
      </c>
      <c r="BW16" s="177">
        <f>IF(BW14&lt;&gt;"",BW14-BW15,"")</f>
        <v>3</v>
      </c>
      <c r="BX16" s="177">
        <f>IF(BX14&lt;&gt;"",BX14-BX15,"")</f>
        <v>6</v>
      </c>
      <c r="BY16" s="177">
        <f>IF(BY14&lt;&gt;"",BY14-BY15,"")</f>
        <v>5</v>
      </c>
      <c r="BZ16" s="177">
        <f>IF(BZ14&lt;&gt;"",BZ14-BZ15,"")</f>
        <v>6</v>
      </c>
      <c r="CA16" s="177">
        <f>IF(CA14&lt;&gt;"",CA14-CA15,"")</f>
        <v>4</v>
      </c>
      <c r="CB16" s="177" t="str">
        <f>IF(CB14&lt;&gt;"",CB14-CB15,"")</f>
        <v/>
      </c>
      <c r="CC16" s="177" t="str">
        <f>IF(CC14&lt;&gt;"",CC14-CC15,"")</f>
        <v/>
      </c>
      <c r="CD16" s="177" t="str">
        <f>IF(CD14&lt;&gt;"",CD14-CD15,"")</f>
        <v/>
      </c>
      <c r="CE16" s="177" t="str">
        <f>IF(CE14&lt;&gt;"",CE14-CE15,"")</f>
        <v/>
      </c>
      <c r="CF16" s="177" t="str">
        <f>IF(CF14&lt;&gt;"",CF14-CF15,"")</f>
        <v/>
      </c>
      <c r="CG16" s="177" t="str">
        <f>IF(CG14&lt;&gt;"",CG14-CG15,"")</f>
        <v/>
      </c>
      <c r="CH16" s="177" t="str">
        <f>IF(CH14&lt;&gt;"",CH14-CH15,"")</f>
        <v/>
      </c>
      <c r="CI16" s="177"/>
      <c r="CJ16" s="178"/>
    </row>
    <row r="17" spans="3:88" ht="13.5" thickTop="1" x14ac:dyDescent="0.2">
      <c r="C17" s="165"/>
      <c r="D17" s="166"/>
      <c r="E17" s="166" t="s">
        <v>278</v>
      </c>
      <c r="F17" s="166" t="s">
        <v>96</v>
      </c>
      <c r="G17" s="166" t="s">
        <v>291</v>
      </c>
      <c r="H17" s="167"/>
      <c r="I17" s="168">
        <v>5</v>
      </c>
      <c r="J17" s="169">
        <v>5</v>
      </c>
      <c r="K17" s="169">
        <v>5</v>
      </c>
      <c r="L17" s="169">
        <v>5</v>
      </c>
      <c r="M17" s="168">
        <v>5</v>
      </c>
      <c r="N17" s="168">
        <v>5</v>
      </c>
      <c r="O17" s="168">
        <v>5</v>
      </c>
      <c r="P17" s="168">
        <v>3</v>
      </c>
      <c r="Q17" s="168">
        <v>5</v>
      </c>
      <c r="R17" s="168">
        <v>5</v>
      </c>
      <c r="S17" s="168">
        <v>5</v>
      </c>
      <c r="T17" s="169">
        <v>5</v>
      </c>
      <c r="U17" s="168">
        <v>4</v>
      </c>
      <c r="V17" s="169">
        <v>4</v>
      </c>
      <c r="W17" s="170"/>
      <c r="X17" s="169">
        <v>4</v>
      </c>
      <c r="Y17" s="170"/>
      <c r="Z17" s="170"/>
      <c r="AA17" s="168">
        <v>5</v>
      </c>
      <c r="AB17" s="170"/>
      <c r="AC17" s="169">
        <v>3</v>
      </c>
      <c r="AD17" s="169">
        <v>5</v>
      </c>
      <c r="AE17" s="168">
        <v>5</v>
      </c>
      <c r="AF17" s="169">
        <v>5</v>
      </c>
      <c r="AG17" s="169">
        <v>5</v>
      </c>
      <c r="AH17" s="168">
        <v>4</v>
      </c>
      <c r="AI17" s="168">
        <v>3</v>
      </c>
      <c r="AJ17" s="168">
        <v>3</v>
      </c>
      <c r="AK17" s="170"/>
      <c r="AL17" s="168">
        <v>2</v>
      </c>
      <c r="AM17" s="169">
        <v>4</v>
      </c>
      <c r="AN17" s="168">
        <v>4</v>
      </c>
      <c r="AO17" s="168">
        <v>4</v>
      </c>
      <c r="AP17" s="170"/>
      <c r="AQ17" s="170"/>
      <c r="AR17" s="168">
        <v>5</v>
      </c>
      <c r="AS17" s="168">
        <v>4</v>
      </c>
      <c r="AT17" s="170"/>
      <c r="AU17" s="168">
        <v>4</v>
      </c>
      <c r="AV17" s="168">
        <v>4</v>
      </c>
      <c r="AW17" s="168">
        <v>4</v>
      </c>
      <c r="AX17" s="170"/>
      <c r="AY17" s="170"/>
      <c r="AZ17" s="168">
        <v>4</v>
      </c>
      <c r="BA17" s="168">
        <v>5</v>
      </c>
      <c r="BB17" s="170"/>
      <c r="BC17" s="168">
        <v>6</v>
      </c>
      <c r="BD17" s="169">
        <v>5</v>
      </c>
      <c r="BE17" s="169">
        <v>5</v>
      </c>
      <c r="BF17" s="169">
        <v>5</v>
      </c>
      <c r="BG17" s="168">
        <v>4</v>
      </c>
      <c r="BH17" s="170"/>
      <c r="BI17" s="170"/>
      <c r="BJ17" s="170"/>
      <c r="BK17" s="170"/>
      <c r="BL17" s="168">
        <v>4</v>
      </c>
      <c r="BM17" s="170"/>
      <c r="BN17" s="170"/>
      <c r="BO17" s="168">
        <v>4</v>
      </c>
      <c r="BP17" s="170"/>
      <c r="BQ17" s="169">
        <v>5</v>
      </c>
      <c r="BR17" s="170"/>
      <c r="BS17" s="170"/>
      <c r="BT17" s="170"/>
      <c r="BU17" s="168">
        <v>4</v>
      </c>
      <c r="BV17" s="170"/>
      <c r="BW17" s="168">
        <v>2</v>
      </c>
      <c r="BX17" s="168">
        <v>4</v>
      </c>
      <c r="BY17" s="168">
        <v>4</v>
      </c>
      <c r="BZ17" s="170"/>
      <c r="CA17" s="170"/>
      <c r="CB17" s="170"/>
      <c r="CC17" s="170"/>
      <c r="CD17" s="170"/>
      <c r="CE17" s="170"/>
      <c r="CF17" s="170"/>
      <c r="CG17" s="170"/>
      <c r="CH17" s="170"/>
      <c r="CI17" s="167"/>
      <c r="CJ17" s="171"/>
    </row>
    <row r="18" spans="3:88" x14ac:dyDescent="0.2">
      <c r="C18" s="172"/>
      <c r="D18" s="173" t="s">
        <v>275</v>
      </c>
      <c r="E18" s="173" t="s">
        <v>278</v>
      </c>
      <c r="F18" s="173" t="s">
        <v>96</v>
      </c>
      <c r="G18" s="173" t="s">
        <v>277</v>
      </c>
      <c r="H18" s="30"/>
      <c r="I18" s="30"/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  <c r="AG18" s="30"/>
      <c r="AH18" s="30"/>
      <c r="AI18" s="30"/>
      <c r="AJ18" s="30"/>
      <c r="AK18" s="30"/>
      <c r="AL18" s="30"/>
      <c r="AM18" s="30"/>
      <c r="AN18" s="30"/>
      <c r="AO18" s="30"/>
      <c r="AP18" s="30"/>
      <c r="AQ18" s="30"/>
      <c r="AR18" s="30"/>
      <c r="AS18" s="30"/>
      <c r="AT18" s="30"/>
      <c r="AU18" s="30"/>
      <c r="AV18" s="30"/>
      <c r="AW18" s="30"/>
      <c r="AX18" s="30"/>
      <c r="AY18" s="30"/>
      <c r="AZ18" s="30"/>
      <c r="BA18" s="30"/>
      <c r="BB18" s="30"/>
      <c r="BC18" s="30"/>
      <c r="BD18" s="30"/>
      <c r="BE18" s="30"/>
      <c r="BF18" s="30"/>
      <c r="BG18" s="30"/>
      <c r="BH18" s="30"/>
      <c r="BI18" s="30"/>
      <c r="BJ18" s="30"/>
      <c r="BK18" s="30"/>
      <c r="BL18" s="30"/>
      <c r="BM18" s="30"/>
      <c r="BN18" s="30"/>
      <c r="BO18" s="30"/>
      <c r="BP18" s="30"/>
      <c r="BQ18" s="30"/>
      <c r="BR18" s="30"/>
      <c r="BS18" s="30"/>
      <c r="BT18" s="30"/>
      <c r="BU18" s="30"/>
      <c r="BV18" s="30"/>
      <c r="BW18" s="30"/>
      <c r="BX18" s="30"/>
      <c r="BY18" s="30"/>
      <c r="BZ18" s="30"/>
      <c r="CA18" s="30"/>
      <c r="CB18" s="30"/>
      <c r="CC18" s="30"/>
      <c r="CD18" s="30"/>
      <c r="CE18" s="30"/>
      <c r="CF18" s="30"/>
      <c r="CG18" s="30"/>
      <c r="CH18" s="30"/>
      <c r="CI18" s="30"/>
      <c r="CJ18" s="174"/>
    </row>
    <row r="19" spans="3:88" ht="13.5" thickBot="1" x14ac:dyDescent="0.25">
      <c r="C19" s="175"/>
      <c r="D19" s="176"/>
      <c r="E19" s="176" t="s">
        <v>278</v>
      </c>
      <c r="F19" s="176" t="s">
        <v>96</v>
      </c>
      <c r="G19" s="176" t="s">
        <v>292</v>
      </c>
      <c r="H19" s="177"/>
      <c r="I19" s="177">
        <f>IF(I17&lt;&gt;"",I17-I18,"")</f>
        <v>5</v>
      </c>
      <c r="J19" s="177">
        <f>IF(J17&lt;&gt;"",J17-J18,"")</f>
        <v>5</v>
      </c>
      <c r="K19" s="177">
        <f>IF(K17&lt;&gt;"",K17-K18,"")</f>
        <v>5</v>
      </c>
      <c r="L19" s="177">
        <f>IF(L17&lt;&gt;"",L17-L18,"")</f>
        <v>5</v>
      </c>
      <c r="M19" s="177">
        <f>IF(M17&lt;&gt;"",M17-M18,"")</f>
        <v>5</v>
      </c>
      <c r="N19" s="177">
        <f>IF(N17&lt;&gt;"",N17-N18,"")</f>
        <v>5</v>
      </c>
      <c r="O19" s="177">
        <f>IF(O17&lt;&gt;"",O17-O18,"")</f>
        <v>5</v>
      </c>
      <c r="P19" s="177">
        <f>IF(P17&lt;&gt;"",P17-P18,"")</f>
        <v>3</v>
      </c>
      <c r="Q19" s="177">
        <f>IF(Q17&lt;&gt;"",Q17-Q18,"")</f>
        <v>5</v>
      </c>
      <c r="R19" s="177">
        <f>IF(R17&lt;&gt;"",R17-R18,"")</f>
        <v>5</v>
      </c>
      <c r="S19" s="177">
        <f>IF(S17&lt;&gt;"",S17-S18,"")</f>
        <v>5</v>
      </c>
      <c r="T19" s="177">
        <f>IF(T17&lt;&gt;"",T17-T18,"")</f>
        <v>5</v>
      </c>
      <c r="U19" s="177">
        <f>IF(U17&lt;&gt;"",U17-U18,"")</f>
        <v>4</v>
      </c>
      <c r="V19" s="177">
        <f>IF(V17&lt;&gt;"",V17-V18,"")</f>
        <v>4</v>
      </c>
      <c r="W19" s="177" t="str">
        <f>IF(W17&lt;&gt;"",W17-W18,"")</f>
        <v/>
      </c>
      <c r="X19" s="177">
        <f>IF(X17&lt;&gt;"",X17-X18,"")</f>
        <v>4</v>
      </c>
      <c r="Y19" s="177" t="str">
        <f>IF(Y17&lt;&gt;"",Y17-Y18,"")</f>
        <v/>
      </c>
      <c r="Z19" s="177" t="str">
        <f>IF(Z17&lt;&gt;"",Z17-Z18,"")</f>
        <v/>
      </c>
      <c r="AA19" s="177">
        <f>IF(AA17&lt;&gt;"",AA17-AA18,"")</f>
        <v>5</v>
      </c>
      <c r="AB19" s="177" t="str">
        <f>IF(AB17&lt;&gt;"",AB17-AB18,"")</f>
        <v/>
      </c>
      <c r="AC19" s="177">
        <f>IF(AC17&lt;&gt;"",AC17-AC18,"")</f>
        <v>3</v>
      </c>
      <c r="AD19" s="177">
        <f>IF(AD17&lt;&gt;"",AD17-AD18,"")</f>
        <v>5</v>
      </c>
      <c r="AE19" s="177">
        <f>IF(AE17&lt;&gt;"",AE17-AE18,"")</f>
        <v>5</v>
      </c>
      <c r="AF19" s="177">
        <f>IF(AF17&lt;&gt;"",AF17-AF18,"")</f>
        <v>5</v>
      </c>
      <c r="AG19" s="177">
        <f>IF(AG17&lt;&gt;"",AG17-AG18,"")</f>
        <v>5</v>
      </c>
      <c r="AH19" s="177">
        <f>IF(AH17&lt;&gt;"",AH17-AH18,"")</f>
        <v>4</v>
      </c>
      <c r="AI19" s="177">
        <f>IF(AI17&lt;&gt;"",AI17-AI18,"")</f>
        <v>3</v>
      </c>
      <c r="AJ19" s="177">
        <f>IF(AJ17&lt;&gt;"",AJ17-AJ18,"")</f>
        <v>3</v>
      </c>
      <c r="AK19" s="177" t="str">
        <f>IF(AK17&lt;&gt;"",AK17-AK18,"")</f>
        <v/>
      </c>
      <c r="AL19" s="177">
        <f>IF(AL17&lt;&gt;"",AL17-AL18,"")</f>
        <v>2</v>
      </c>
      <c r="AM19" s="177">
        <f>IF(AM17&lt;&gt;"",AM17-AM18,"")</f>
        <v>4</v>
      </c>
      <c r="AN19" s="177">
        <f>IF(AN17&lt;&gt;"",AN17-AN18,"")</f>
        <v>4</v>
      </c>
      <c r="AO19" s="177">
        <f>IF(AO17&lt;&gt;"",AO17-AO18,"")</f>
        <v>4</v>
      </c>
      <c r="AP19" s="177" t="str">
        <f>IF(AP17&lt;&gt;"",AP17-AP18,"")</f>
        <v/>
      </c>
      <c r="AQ19" s="177" t="str">
        <f>IF(AQ17&lt;&gt;"",AQ17-AQ18,"")</f>
        <v/>
      </c>
      <c r="AR19" s="177">
        <f>IF(AR17&lt;&gt;"",AR17-AR18,"")</f>
        <v>5</v>
      </c>
      <c r="AS19" s="177">
        <f>IF(AS17&lt;&gt;"",AS17-AS18,"")</f>
        <v>4</v>
      </c>
      <c r="AT19" s="177" t="str">
        <f>IF(AT17&lt;&gt;"",AT17-AT18,"")</f>
        <v/>
      </c>
      <c r="AU19" s="177">
        <f>IF(AU17&lt;&gt;"",AU17-AU18,"")</f>
        <v>4</v>
      </c>
      <c r="AV19" s="177">
        <f>IF(AV17&lt;&gt;"",AV17-AV18,"")</f>
        <v>4</v>
      </c>
      <c r="AW19" s="177">
        <f>IF(AW17&lt;&gt;"",AW17-AW18,"")</f>
        <v>4</v>
      </c>
      <c r="AX19" s="177" t="str">
        <f>IF(AX17&lt;&gt;"",AX17-AX18,"")</f>
        <v/>
      </c>
      <c r="AY19" s="177" t="str">
        <f>IF(AY17&lt;&gt;"",AY17-AY18,"")</f>
        <v/>
      </c>
      <c r="AZ19" s="177">
        <f>IF(AZ17&lt;&gt;"",AZ17-AZ18,"")</f>
        <v>4</v>
      </c>
      <c r="BA19" s="177">
        <f>IF(BA17&lt;&gt;"",BA17-BA18,"")</f>
        <v>5</v>
      </c>
      <c r="BB19" s="177" t="str">
        <f>IF(BB17&lt;&gt;"",BB17-BB18,"")</f>
        <v/>
      </c>
      <c r="BC19" s="177">
        <f>IF(BC17&lt;&gt;"",BC17-BC18,"")</f>
        <v>6</v>
      </c>
      <c r="BD19" s="177">
        <f>IF(BD17&lt;&gt;"",BD17-BD18,"")</f>
        <v>5</v>
      </c>
      <c r="BE19" s="177">
        <f>IF(BE17&lt;&gt;"",BE17-BE18,"")</f>
        <v>5</v>
      </c>
      <c r="BF19" s="177">
        <f>IF(BF17&lt;&gt;"",BF17-BF18,"")</f>
        <v>5</v>
      </c>
      <c r="BG19" s="177">
        <f>IF(BG17&lt;&gt;"",BG17-BG18,"")</f>
        <v>4</v>
      </c>
      <c r="BH19" s="177" t="str">
        <f>IF(BH17&lt;&gt;"",BH17-BH18,"")</f>
        <v/>
      </c>
      <c r="BI19" s="177" t="str">
        <f>IF(BI17&lt;&gt;"",BI17-BI18,"")</f>
        <v/>
      </c>
      <c r="BJ19" s="177" t="str">
        <f>IF(BJ17&lt;&gt;"",BJ17-BJ18,"")</f>
        <v/>
      </c>
      <c r="BK19" s="177" t="str">
        <f>IF(BK17&lt;&gt;"",BK17-BK18,"")</f>
        <v/>
      </c>
      <c r="BL19" s="177">
        <f>IF(BL17&lt;&gt;"",BL17-BL18,"")</f>
        <v>4</v>
      </c>
      <c r="BM19" s="177" t="str">
        <f>IF(BM17&lt;&gt;"",BM17-BM18,"")</f>
        <v/>
      </c>
      <c r="BN19" s="177" t="str">
        <f>IF(BN17&lt;&gt;"",BN17-BN18,"")</f>
        <v/>
      </c>
      <c r="BO19" s="177">
        <f>IF(BO17&lt;&gt;"",BO17-BO18,"")</f>
        <v>4</v>
      </c>
      <c r="BP19" s="177" t="str">
        <f>IF(BP17&lt;&gt;"",BP17-BP18,"")</f>
        <v/>
      </c>
      <c r="BQ19" s="177">
        <f>IF(BQ17&lt;&gt;"",BQ17-BQ18,"")</f>
        <v>5</v>
      </c>
      <c r="BR19" s="177" t="str">
        <f>IF(BR17&lt;&gt;"",BR17-BR18,"")</f>
        <v/>
      </c>
      <c r="BS19" s="177" t="str">
        <f>IF(BS17&lt;&gt;"",BS17-BS18,"")</f>
        <v/>
      </c>
      <c r="BT19" s="177" t="str">
        <f>IF(BT17&lt;&gt;"",BT17-BT18,"")</f>
        <v/>
      </c>
      <c r="BU19" s="177">
        <f>IF(BU17&lt;&gt;"",BU17-BU18,"")</f>
        <v>4</v>
      </c>
      <c r="BV19" s="177" t="str">
        <f>IF(BV17&lt;&gt;"",BV17-BV18,"")</f>
        <v/>
      </c>
      <c r="BW19" s="177">
        <f>IF(BW17&lt;&gt;"",BW17-BW18,"")</f>
        <v>2</v>
      </c>
      <c r="BX19" s="177">
        <f>IF(BX17&lt;&gt;"",BX17-BX18,"")</f>
        <v>4</v>
      </c>
      <c r="BY19" s="177">
        <f>IF(BY17&lt;&gt;"",BY17-BY18,"")</f>
        <v>4</v>
      </c>
      <c r="BZ19" s="177" t="str">
        <f>IF(BZ17&lt;&gt;"",BZ17-BZ18,"")</f>
        <v/>
      </c>
      <c r="CA19" s="177" t="str">
        <f>IF(CA17&lt;&gt;"",CA17-CA18,"")</f>
        <v/>
      </c>
      <c r="CB19" s="177" t="str">
        <f>IF(CB17&lt;&gt;"",CB17-CB18,"")</f>
        <v/>
      </c>
      <c r="CC19" s="177" t="str">
        <f>IF(CC17&lt;&gt;"",CC17-CC18,"")</f>
        <v/>
      </c>
      <c r="CD19" s="177" t="str">
        <f>IF(CD17&lt;&gt;"",CD17-CD18,"")</f>
        <v/>
      </c>
      <c r="CE19" s="177" t="str">
        <f>IF(CE17&lt;&gt;"",CE17-CE18,"")</f>
        <v/>
      </c>
      <c r="CF19" s="177" t="str">
        <f>IF(CF17&lt;&gt;"",CF17-CF18,"")</f>
        <v/>
      </c>
      <c r="CG19" s="177" t="str">
        <f>IF(CG17&lt;&gt;"",CG17-CG18,"")</f>
        <v/>
      </c>
      <c r="CH19" s="177" t="str">
        <f>IF(CH17&lt;&gt;"",CH17-CH18,"")</f>
        <v/>
      </c>
      <c r="CI19" s="177"/>
      <c r="CJ19" s="178"/>
    </row>
    <row r="20" spans="3:88" ht="13.5" thickTop="1" x14ac:dyDescent="0.2">
      <c r="C20" s="165"/>
      <c r="D20" s="166"/>
      <c r="E20" s="166" t="s">
        <v>279</v>
      </c>
      <c r="F20" s="166" t="s">
        <v>96</v>
      </c>
      <c r="G20" s="166" t="s">
        <v>291</v>
      </c>
      <c r="H20" s="167"/>
      <c r="I20" s="168">
        <v>5</v>
      </c>
      <c r="J20" s="169">
        <v>5</v>
      </c>
      <c r="K20" s="169">
        <v>5</v>
      </c>
      <c r="L20" s="169">
        <v>5</v>
      </c>
      <c r="M20" s="168">
        <v>5</v>
      </c>
      <c r="N20" s="168">
        <v>5</v>
      </c>
      <c r="O20" s="168">
        <v>5</v>
      </c>
      <c r="P20" s="168">
        <v>3</v>
      </c>
      <c r="Q20" s="168">
        <v>5</v>
      </c>
      <c r="R20" s="168">
        <v>5</v>
      </c>
      <c r="S20" s="168">
        <v>5</v>
      </c>
      <c r="T20" s="169">
        <v>5</v>
      </c>
      <c r="U20" s="168">
        <v>4</v>
      </c>
      <c r="V20" s="169">
        <v>4</v>
      </c>
      <c r="W20" s="170"/>
      <c r="X20" s="169">
        <v>4</v>
      </c>
      <c r="Y20" s="170"/>
      <c r="Z20" s="170"/>
      <c r="AA20" s="168">
        <v>5</v>
      </c>
      <c r="AB20" s="170"/>
      <c r="AC20" s="169">
        <v>3</v>
      </c>
      <c r="AD20" s="169">
        <v>5</v>
      </c>
      <c r="AE20" s="168">
        <v>5</v>
      </c>
      <c r="AF20" s="169">
        <v>5</v>
      </c>
      <c r="AG20" s="169">
        <v>5</v>
      </c>
      <c r="AH20" s="168">
        <v>4</v>
      </c>
      <c r="AI20" s="168">
        <v>3</v>
      </c>
      <c r="AJ20" s="168">
        <v>3</v>
      </c>
      <c r="AK20" s="170"/>
      <c r="AL20" s="168">
        <v>2</v>
      </c>
      <c r="AM20" s="169">
        <v>4</v>
      </c>
      <c r="AN20" s="168">
        <v>4</v>
      </c>
      <c r="AO20" s="168">
        <v>4</v>
      </c>
      <c r="AP20" s="170"/>
      <c r="AQ20" s="170"/>
      <c r="AR20" s="168">
        <v>5</v>
      </c>
      <c r="AS20" s="168">
        <v>4</v>
      </c>
      <c r="AT20" s="170"/>
      <c r="AU20" s="168">
        <v>4</v>
      </c>
      <c r="AV20" s="168">
        <v>4</v>
      </c>
      <c r="AW20" s="168">
        <v>4</v>
      </c>
      <c r="AX20" s="170"/>
      <c r="AY20" s="170"/>
      <c r="AZ20" s="168">
        <v>4</v>
      </c>
      <c r="BA20" s="168">
        <v>5</v>
      </c>
      <c r="BB20" s="170"/>
      <c r="BC20" s="168">
        <v>6</v>
      </c>
      <c r="BD20" s="169">
        <v>5</v>
      </c>
      <c r="BE20" s="169">
        <v>5</v>
      </c>
      <c r="BF20" s="169">
        <v>5</v>
      </c>
      <c r="BG20" s="168">
        <v>4</v>
      </c>
      <c r="BH20" s="170"/>
      <c r="BI20" s="170"/>
      <c r="BJ20" s="170"/>
      <c r="BK20" s="170"/>
      <c r="BL20" s="168">
        <v>4</v>
      </c>
      <c r="BM20" s="170"/>
      <c r="BN20" s="170"/>
      <c r="BO20" s="168">
        <v>4</v>
      </c>
      <c r="BP20" s="170"/>
      <c r="BQ20" s="169">
        <v>5</v>
      </c>
      <c r="BR20" s="170"/>
      <c r="BS20" s="170"/>
      <c r="BT20" s="170"/>
      <c r="BU20" s="168">
        <v>4</v>
      </c>
      <c r="BV20" s="170"/>
      <c r="BW20" s="168">
        <v>2</v>
      </c>
      <c r="BX20" s="168">
        <v>4</v>
      </c>
      <c r="BY20" s="168">
        <v>4</v>
      </c>
      <c r="BZ20" s="170"/>
      <c r="CA20" s="170"/>
      <c r="CB20" s="170"/>
      <c r="CC20" s="170"/>
      <c r="CD20" s="170"/>
      <c r="CE20" s="170"/>
      <c r="CF20" s="170"/>
      <c r="CG20" s="170"/>
      <c r="CH20" s="170"/>
      <c r="CI20" s="167"/>
      <c r="CJ20" s="171"/>
    </row>
    <row r="21" spans="3:88" x14ac:dyDescent="0.2">
      <c r="C21" s="172"/>
      <c r="D21" s="173" t="s">
        <v>275</v>
      </c>
      <c r="E21" s="173" t="s">
        <v>279</v>
      </c>
      <c r="F21" s="173" t="s">
        <v>96</v>
      </c>
      <c r="G21" s="173" t="s">
        <v>277</v>
      </c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  <c r="BG21" s="30"/>
      <c r="BH21" s="30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174"/>
    </row>
    <row r="22" spans="3:88" ht="13.5" thickBot="1" x14ac:dyDescent="0.25">
      <c r="C22" s="175"/>
      <c r="D22" s="176"/>
      <c r="E22" s="176" t="s">
        <v>279</v>
      </c>
      <c r="F22" s="176" t="s">
        <v>96</v>
      </c>
      <c r="G22" s="176" t="s">
        <v>292</v>
      </c>
      <c r="H22" s="177"/>
      <c r="I22" s="177">
        <f>IF(I20&lt;&gt;"",I20-I21,"")</f>
        <v>5</v>
      </c>
      <c r="J22" s="177">
        <f>IF(J20&lt;&gt;"",J20-J21,"")</f>
        <v>5</v>
      </c>
      <c r="K22" s="177">
        <f>IF(K20&lt;&gt;"",K20-K21,"")</f>
        <v>5</v>
      </c>
      <c r="L22" s="177">
        <f>IF(L20&lt;&gt;"",L20-L21,"")</f>
        <v>5</v>
      </c>
      <c r="M22" s="177">
        <f>IF(M20&lt;&gt;"",M20-M21,"")</f>
        <v>5</v>
      </c>
      <c r="N22" s="177">
        <f>IF(N20&lt;&gt;"",N20-N21,"")</f>
        <v>5</v>
      </c>
      <c r="O22" s="177">
        <f>IF(O20&lt;&gt;"",O20-O21,"")</f>
        <v>5</v>
      </c>
      <c r="P22" s="177">
        <f>IF(P20&lt;&gt;"",P20-P21,"")</f>
        <v>3</v>
      </c>
      <c r="Q22" s="177">
        <f>IF(Q20&lt;&gt;"",Q20-Q21,"")</f>
        <v>5</v>
      </c>
      <c r="R22" s="177">
        <f>IF(R20&lt;&gt;"",R20-R21,"")</f>
        <v>5</v>
      </c>
      <c r="S22" s="177">
        <f>IF(S20&lt;&gt;"",S20-S21,"")</f>
        <v>5</v>
      </c>
      <c r="T22" s="177">
        <f>IF(T20&lt;&gt;"",T20-T21,"")</f>
        <v>5</v>
      </c>
      <c r="U22" s="177">
        <f>IF(U20&lt;&gt;"",U20-U21,"")</f>
        <v>4</v>
      </c>
      <c r="V22" s="177">
        <f>IF(V20&lt;&gt;"",V20-V21,"")</f>
        <v>4</v>
      </c>
      <c r="W22" s="177" t="str">
        <f>IF(W20&lt;&gt;"",W20-W21,"")</f>
        <v/>
      </c>
      <c r="X22" s="177">
        <f>IF(X20&lt;&gt;"",X20-X21,"")</f>
        <v>4</v>
      </c>
      <c r="Y22" s="177" t="str">
        <f>IF(Y20&lt;&gt;"",Y20-Y21,"")</f>
        <v/>
      </c>
      <c r="Z22" s="177" t="str">
        <f>IF(Z20&lt;&gt;"",Z20-Z21,"")</f>
        <v/>
      </c>
      <c r="AA22" s="177">
        <f>IF(AA20&lt;&gt;"",AA20-AA21,"")</f>
        <v>5</v>
      </c>
      <c r="AB22" s="177" t="str">
        <f>IF(AB20&lt;&gt;"",AB20-AB21,"")</f>
        <v/>
      </c>
      <c r="AC22" s="177">
        <f>IF(AC20&lt;&gt;"",AC20-AC21,"")</f>
        <v>3</v>
      </c>
      <c r="AD22" s="177">
        <f>IF(AD20&lt;&gt;"",AD20-AD21,"")</f>
        <v>5</v>
      </c>
      <c r="AE22" s="177">
        <f>IF(AE20&lt;&gt;"",AE20-AE21,"")</f>
        <v>5</v>
      </c>
      <c r="AF22" s="177">
        <f>IF(AF20&lt;&gt;"",AF20-AF21,"")</f>
        <v>5</v>
      </c>
      <c r="AG22" s="177">
        <f>IF(AG20&lt;&gt;"",AG20-AG21,"")</f>
        <v>5</v>
      </c>
      <c r="AH22" s="177">
        <f>IF(AH20&lt;&gt;"",AH20-AH21,"")</f>
        <v>4</v>
      </c>
      <c r="AI22" s="177">
        <f>IF(AI20&lt;&gt;"",AI20-AI21,"")</f>
        <v>3</v>
      </c>
      <c r="AJ22" s="177">
        <f>IF(AJ20&lt;&gt;"",AJ20-AJ21,"")</f>
        <v>3</v>
      </c>
      <c r="AK22" s="177" t="str">
        <f>IF(AK20&lt;&gt;"",AK20-AK21,"")</f>
        <v/>
      </c>
      <c r="AL22" s="177">
        <f>IF(AL20&lt;&gt;"",AL20-AL21,"")</f>
        <v>2</v>
      </c>
      <c r="AM22" s="177">
        <f>IF(AM20&lt;&gt;"",AM20-AM21,"")</f>
        <v>4</v>
      </c>
      <c r="AN22" s="177">
        <f>IF(AN20&lt;&gt;"",AN20-AN21,"")</f>
        <v>4</v>
      </c>
      <c r="AO22" s="177">
        <f>IF(AO20&lt;&gt;"",AO20-AO21,"")</f>
        <v>4</v>
      </c>
      <c r="AP22" s="177" t="str">
        <f>IF(AP20&lt;&gt;"",AP20-AP21,"")</f>
        <v/>
      </c>
      <c r="AQ22" s="177" t="str">
        <f>IF(AQ20&lt;&gt;"",AQ20-AQ21,"")</f>
        <v/>
      </c>
      <c r="AR22" s="177">
        <f>IF(AR20&lt;&gt;"",AR20-AR21,"")</f>
        <v>5</v>
      </c>
      <c r="AS22" s="177">
        <f>IF(AS20&lt;&gt;"",AS20-AS21,"")</f>
        <v>4</v>
      </c>
      <c r="AT22" s="177" t="str">
        <f>IF(AT20&lt;&gt;"",AT20-AT21,"")</f>
        <v/>
      </c>
      <c r="AU22" s="177">
        <f>IF(AU20&lt;&gt;"",AU20-AU21,"")</f>
        <v>4</v>
      </c>
      <c r="AV22" s="177">
        <f>IF(AV20&lt;&gt;"",AV20-AV21,"")</f>
        <v>4</v>
      </c>
      <c r="AW22" s="177">
        <f>IF(AW20&lt;&gt;"",AW20-AW21,"")</f>
        <v>4</v>
      </c>
      <c r="AX22" s="177" t="str">
        <f>IF(AX20&lt;&gt;"",AX20-AX21,"")</f>
        <v/>
      </c>
      <c r="AY22" s="177" t="str">
        <f>IF(AY20&lt;&gt;"",AY20-AY21,"")</f>
        <v/>
      </c>
      <c r="AZ22" s="177">
        <f>IF(AZ20&lt;&gt;"",AZ20-AZ21,"")</f>
        <v>4</v>
      </c>
      <c r="BA22" s="177">
        <f>IF(BA20&lt;&gt;"",BA20-BA21,"")</f>
        <v>5</v>
      </c>
      <c r="BB22" s="177" t="str">
        <f>IF(BB20&lt;&gt;"",BB20-BB21,"")</f>
        <v/>
      </c>
      <c r="BC22" s="177">
        <f>IF(BC20&lt;&gt;"",BC20-BC21,"")</f>
        <v>6</v>
      </c>
      <c r="BD22" s="177">
        <f>IF(BD20&lt;&gt;"",BD20-BD21,"")</f>
        <v>5</v>
      </c>
      <c r="BE22" s="177">
        <f>IF(BE20&lt;&gt;"",BE20-BE21,"")</f>
        <v>5</v>
      </c>
      <c r="BF22" s="177">
        <f>IF(BF20&lt;&gt;"",BF20-BF21,"")</f>
        <v>5</v>
      </c>
      <c r="BG22" s="177">
        <f>IF(BG20&lt;&gt;"",BG20-BG21,"")</f>
        <v>4</v>
      </c>
      <c r="BH22" s="177" t="str">
        <f>IF(BH20&lt;&gt;"",BH20-BH21,"")</f>
        <v/>
      </c>
      <c r="BI22" s="177" t="str">
        <f>IF(BI20&lt;&gt;"",BI20-BI21,"")</f>
        <v/>
      </c>
      <c r="BJ22" s="177" t="str">
        <f>IF(BJ20&lt;&gt;"",BJ20-BJ21,"")</f>
        <v/>
      </c>
      <c r="BK22" s="177" t="str">
        <f>IF(BK20&lt;&gt;"",BK20-BK21,"")</f>
        <v/>
      </c>
      <c r="BL22" s="177">
        <f>IF(BL20&lt;&gt;"",BL20-BL21,"")</f>
        <v>4</v>
      </c>
      <c r="BM22" s="177" t="str">
        <f>IF(BM20&lt;&gt;"",BM20-BM21,"")</f>
        <v/>
      </c>
      <c r="BN22" s="177" t="str">
        <f>IF(BN20&lt;&gt;"",BN20-BN21,"")</f>
        <v/>
      </c>
      <c r="BO22" s="177">
        <f>IF(BO20&lt;&gt;"",BO20-BO21,"")</f>
        <v>4</v>
      </c>
      <c r="BP22" s="177" t="str">
        <f>IF(BP20&lt;&gt;"",BP20-BP21,"")</f>
        <v/>
      </c>
      <c r="BQ22" s="177">
        <f>IF(BQ20&lt;&gt;"",BQ20-BQ21,"")</f>
        <v>5</v>
      </c>
      <c r="BR22" s="177" t="str">
        <f>IF(BR20&lt;&gt;"",BR20-BR21,"")</f>
        <v/>
      </c>
      <c r="BS22" s="177" t="str">
        <f>IF(BS20&lt;&gt;"",BS20-BS21,"")</f>
        <v/>
      </c>
      <c r="BT22" s="177" t="str">
        <f>IF(BT20&lt;&gt;"",BT20-BT21,"")</f>
        <v/>
      </c>
      <c r="BU22" s="177">
        <f>IF(BU20&lt;&gt;"",BU20-BU21,"")</f>
        <v>4</v>
      </c>
      <c r="BV22" s="177" t="str">
        <f>IF(BV20&lt;&gt;"",BV20-BV21,"")</f>
        <v/>
      </c>
      <c r="BW22" s="177">
        <f>IF(BW20&lt;&gt;"",BW20-BW21,"")</f>
        <v>2</v>
      </c>
      <c r="BX22" s="177">
        <f>IF(BX20&lt;&gt;"",BX20-BX21,"")</f>
        <v>4</v>
      </c>
      <c r="BY22" s="177">
        <f>IF(BY20&lt;&gt;"",BY20-BY21,"")</f>
        <v>4</v>
      </c>
      <c r="BZ22" s="177" t="str">
        <f>IF(BZ20&lt;&gt;"",BZ20-BZ21,"")</f>
        <v/>
      </c>
      <c r="CA22" s="177" t="str">
        <f>IF(CA20&lt;&gt;"",CA20-CA21,"")</f>
        <v/>
      </c>
      <c r="CB22" s="177" t="str">
        <f>IF(CB20&lt;&gt;"",CB20-CB21,"")</f>
        <v/>
      </c>
      <c r="CC22" s="177" t="str">
        <f>IF(CC20&lt;&gt;"",CC20-CC21,"")</f>
        <v/>
      </c>
      <c r="CD22" s="177" t="str">
        <f>IF(CD20&lt;&gt;"",CD20-CD21,"")</f>
        <v/>
      </c>
      <c r="CE22" s="177" t="str">
        <f>IF(CE20&lt;&gt;"",CE20-CE21,"")</f>
        <v/>
      </c>
      <c r="CF22" s="177" t="str">
        <f>IF(CF20&lt;&gt;"",CF20-CF21,"")</f>
        <v/>
      </c>
      <c r="CG22" s="177" t="str">
        <f>IF(CG20&lt;&gt;"",CG20-CG21,"")</f>
        <v/>
      </c>
      <c r="CH22" s="177" t="str">
        <f>IF(CH20&lt;&gt;"",CH20-CH21,"")</f>
        <v/>
      </c>
      <c r="CI22" s="177"/>
      <c r="CJ22" s="178"/>
    </row>
    <row r="23" spans="3:88" ht="13.5" thickTop="1" x14ac:dyDescent="0.2">
      <c r="C23" s="165"/>
      <c r="D23" s="166"/>
      <c r="E23" s="166" t="s">
        <v>281</v>
      </c>
      <c r="F23" s="166" t="s">
        <v>97</v>
      </c>
      <c r="G23" s="166" t="s">
        <v>291</v>
      </c>
      <c r="H23" s="167"/>
      <c r="I23" s="170"/>
      <c r="J23" s="168">
        <v>3</v>
      </c>
      <c r="K23" s="168">
        <v>4</v>
      </c>
      <c r="L23" s="170"/>
      <c r="M23" s="170"/>
      <c r="N23" s="170"/>
      <c r="O23" s="170"/>
      <c r="P23" s="170"/>
      <c r="Q23" s="170"/>
      <c r="R23" s="170"/>
      <c r="S23" s="168">
        <v>5</v>
      </c>
      <c r="T23" s="170"/>
      <c r="U23" s="168">
        <v>2</v>
      </c>
      <c r="V23" s="170"/>
      <c r="W23" s="170"/>
      <c r="X23" s="170"/>
      <c r="Y23" s="170"/>
      <c r="Z23" s="170"/>
      <c r="AA23" s="170"/>
      <c r="AB23" s="170"/>
      <c r="AC23" s="170"/>
      <c r="AD23" s="170"/>
      <c r="AE23" s="170"/>
      <c r="AF23" s="169">
        <v>4</v>
      </c>
      <c r="AG23" s="169">
        <v>4</v>
      </c>
      <c r="AH23" s="168">
        <v>1</v>
      </c>
      <c r="AI23" s="170"/>
      <c r="AJ23" s="170"/>
      <c r="AK23" s="168">
        <v>3</v>
      </c>
      <c r="AL23" s="168">
        <v>2</v>
      </c>
      <c r="AM23" s="170"/>
      <c r="AN23" s="170"/>
      <c r="AO23" s="170"/>
      <c r="AP23" s="170"/>
      <c r="AQ23" s="170"/>
      <c r="AR23" s="168">
        <v>3</v>
      </c>
      <c r="AS23" s="170"/>
      <c r="AT23" s="169">
        <v>5</v>
      </c>
      <c r="AU23" s="169">
        <v>3</v>
      </c>
      <c r="AV23" s="170"/>
      <c r="AW23" s="170"/>
      <c r="AX23" s="169">
        <v>5</v>
      </c>
      <c r="AY23" s="169">
        <v>5</v>
      </c>
      <c r="AZ23" s="170"/>
      <c r="BA23" s="168">
        <v>2</v>
      </c>
      <c r="BB23" s="168">
        <v>4</v>
      </c>
      <c r="BC23" s="168">
        <v>3</v>
      </c>
      <c r="BD23" s="170"/>
      <c r="BE23" s="170"/>
      <c r="BF23" s="170"/>
      <c r="BG23" s="168">
        <v>4</v>
      </c>
      <c r="BH23" s="170"/>
      <c r="BI23" s="169">
        <v>5</v>
      </c>
      <c r="BJ23" s="170"/>
      <c r="BK23" s="170"/>
      <c r="BL23" s="170"/>
      <c r="BM23" s="170"/>
      <c r="BN23" s="170"/>
      <c r="BO23" s="170"/>
      <c r="BP23" s="170"/>
      <c r="BQ23" s="170"/>
      <c r="BR23" s="170"/>
      <c r="BS23" s="170"/>
      <c r="BT23" s="170"/>
      <c r="BU23" s="170"/>
      <c r="BV23" s="170"/>
      <c r="BW23" s="170"/>
      <c r="BX23" s="170"/>
      <c r="BY23" s="170"/>
      <c r="BZ23" s="170"/>
      <c r="CA23" s="170"/>
      <c r="CB23" s="169">
        <v>4</v>
      </c>
      <c r="CC23" s="169">
        <v>4</v>
      </c>
      <c r="CD23" s="168">
        <v>5</v>
      </c>
      <c r="CE23" s="169">
        <v>4</v>
      </c>
      <c r="CF23" s="168">
        <v>5</v>
      </c>
      <c r="CG23" s="168">
        <v>4</v>
      </c>
      <c r="CH23" s="169">
        <v>5</v>
      </c>
      <c r="CI23" s="167"/>
      <c r="CJ23" s="171"/>
    </row>
    <row r="24" spans="3:88" x14ac:dyDescent="0.2">
      <c r="C24" s="172"/>
      <c r="D24" s="173" t="s">
        <v>280</v>
      </c>
      <c r="E24" s="173" t="s">
        <v>281</v>
      </c>
      <c r="F24" s="173" t="s">
        <v>97</v>
      </c>
      <c r="G24" s="173" t="s">
        <v>277</v>
      </c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0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174"/>
    </row>
    <row r="25" spans="3:88" ht="13.5" thickBot="1" x14ac:dyDescent="0.25">
      <c r="C25" s="175"/>
      <c r="D25" s="176"/>
      <c r="E25" s="176" t="s">
        <v>281</v>
      </c>
      <c r="F25" s="176" t="s">
        <v>97</v>
      </c>
      <c r="G25" s="176" t="s">
        <v>292</v>
      </c>
      <c r="H25" s="177"/>
      <c r="I25" s="177" t="str">
        <f>IF(I23&lt;&gt;"",I23-I24,"")</f>
        <v/>
      </c>
      <c r="J25" s="177">
        <f>IF(J23&lt;&gt;"",J23-J24,"")</f>
        <v>3</v>
      </c>
      <c r="K25" s="177">
        <f>IF(K23&lt;&gt;"",K23-K24,"")</f>
        <v>4</v>
      </c>
      <c r="L25" s="177" t="str">
        <f>IF(L23&lt;&gt;"",L23-L24,"")</f>
        <v/>
      </c>
      <c r="M25" s="177" t="str">
        <f>IF(M23&lt;&gt;"",M23-M24,"")</f>
        <v/>
      </c>
      <c r="N25" s="177" t="str">
        <f>IF(N23&lt;&gt;"",N23-N24,"")</f>
        <v/>
      </c>
      <c r="O25" s="177" t="str">
        <f>IF(O23&lt;&gt;"",O23-O24,"")</f>
        <v/>
      </c>
      <c r="P25" s="177" t="str">
        <f>IF(P23&lt;&gt;"",P23-P24,"")</f>
        <v/>
      </c>
      <c r="Q25" s="177" t="str">
        <f>IF(Q23&lt;&gt;"",Q23-Q24,"")</f>
        <v/>
      </c>
      <c r="R25" s="177" t="str">
        <f>IF(R23&lt;&gt;"",R23-R24,"")</f>
        <v/>
      </c>
      <c r="S25" s="177">
        <f>IF(S23&lt;&gt;"",S23-S24,"")</f>
        <v>5</v>
      </c>
      <c r="T25" s="177" t="str">
        <f>IF(T23&lt;&gt;"",T23-T24,"")</f>
        <v/>
      </c>
      <c r="U25" s="177">
        <f>IF(U23&lt;&gt;"",U23-U24,"")</f>
        <v>2</v>
      </c>
      <c r="V25" s="177" t="str">
        <f>IF(V23&lt;&gt;"",V23-V24,"")</f>
        <v/>
      </c>
      <c r="W25" s="177" t="str">
        <f>IF(W23&lt;&gt;"",W23-W24,"")</f>
        <v/>
      </c>
      <c r="X25" s="177" t="str">
        <f>IF(X23&lt;&gt;"",X23-X24,"")</f>
        <v/>
      </c>
      <c r="Y25" s="177" t="str">
        <f>IF(Y23&lt;&gt;"",Y23-Y24,"")</f>
        <v/>
      </c>
      <c r="Z25" s="177" t="str">
        <f>IF(Z23&lt;&gt;"",Z23-Z24,"")</f>
        <v/>
      </c>
      <c r="AA25" s="177" t="str">
        <f>IF(AA23&lt;&gt;"",AA23-AA24,"")</f>
        <v/>
      </c>
      <c r="AB25" s="177" t="str">
        <f>IF(AB23&lt;&gt;"",AB23-AB24,"")</f>
        <v/>
      </c>
      <c r="AC25" s="177" t="str">
        <f>IF(AC23&lt;&gt;"",AC23-AC24,"")</f>
        <v/>
      </c>
      <c r="AD25" s="177" t="str">
        <f>IF(AD23&lt;&gt;"",AD23-AD24,"")</f>
        <v/>
      </c>
      <c r="AE25" s="177" t="str">
        <f>IF(AE23&lt;&gt;"",AE23-AE24,"")</f>
        <v/>
      </c>
      <c r="AF25" s="177">
        <f>IF(AF23&lt;&gt;"",AF23-AF24,"")</f>
        <v>4</v>
      </c>
      <c r="AG25" s="177">
        <f>IF(AG23&lt;&gt;"",AG23-AG24,"")</f>
        <v>4</v>
      </c>
      <c r="AH25" s="177">
        <f>IF(AH23&lt;&gt;"",AH23-AH24,"")</f>
        <v>1</v>
      </c>
      <c r="AI25" s="177" t="str">
        <f>IF(AI23&lt;&gt;"",AI23-AI24,"")</f>
        <v/>
      </c>
      <c r="AJ25" s="177" t="str">
        <f>IF(AJ23&lt;&gt;"",AJ23-AJ24,"")</f>
        <v/>
      </c>
      <c r="AK25" s="177">
        <f>IF(AK23&lt;&gt;"",AK23-AK24,"")</f>
        <v>3</v>
      </c>
      <c r="AL25" s="177">
        <f>IF(AL23&lt;&gt;"",AL23-AL24,"")</f>
        <v>2</v>
      </c>
      <c r="AM25" s="177" t="str">
        <f>IF(AM23&lt;&gt;"",AM23-AM24,"")</f>
        <v/>
      </c>
      <c r="AN25" s="177" t="str">
        <f>IF(AN23&lt;&gt;"",AN23-AN24,"")</f>
        <v/>
      </c>
      <c r="AO25" s="177" t="str">
        <f>IF(AO23&lt;&gt;"",AO23-AO24,"")</f>
        <v/>
      </c>
      <c r="AP25" s="177" t="str">
        <f>IF(AP23&lt;&gt;"",AP23-AP24,"")</f>
        <v/>
      </c>
      <c r="AQ25" s="177" t="str">
        <f>IF(AQ23&lt;&gt;"",AQ23-AQ24,"")</f>
        <v/>
      </c>
      <c r="AR25" s="177">
        <f>IF(AR23&lt;&gt;"",AR23-AR24,"")</f>
        <v>3</v>
      </c>
      <c r="AS25" s="177" t="str">
        <f>IF(AS23&lt;&gt;"",AS23-AS24,"")</f>
        <v/>
      </c>
      <c r="AT25" s="177">
        <f>IF(AT23&lt;&gt;"",AT23-AT24,"")</f>
        <v>5</v>
      </c>
      <c r="AU25" s="177">
        <f>IF(AU23&lt;&gt;"",AU23-AU24,"")</f>
        <v>3</v>
      </c>
      <c r="AV25" s="177" t="str">
        <f>IF(AV23&lt;&gt;"",AV23-AV24,"")</f>
        <v/>
      </c>
      <c r="AW25" s="177" t="str">
        <f>IF(AW23&lt;&gt;"",AW23-AW24,"")</f>
        <v/>
      </c>
      <c r="AX25" s="177">
        <f>IF(AX23&lt;&gt;"",AX23-AX24,"")</f>
        <v>5</v>
      </c>
      <c r="AY25" s="177">
        <f>IF(AY23&lt;&gt;"",AY23-AY24,"")</f>
        <v>5</v>
      </c>
      <c r="AZ25" s="177" t="str">
        <f>IF(AZ23&lt;&gt;"",AZ23-AZ24,"")</f>
        <v/>
      </c>
      <c r="BA25" s="177">
        <f>IF(BA23&lt;&gt;"",BA23-BA24,"")</f>
        <v>2</v>
      </c>
      <c r="BB25" s="177">
        <f>IF(BB23&lt;&gt;"",BB23-BB24,"")</f>
        <v>4</v>
      </c>
      <c r="BC25" s="177">
        <f>IF(BC23&lt;&gt;"",BC23-BC24,"")</f>
        <v>3</v>
      </c>
      <c r="BD25" s="177" t="str">
        <f>IF(BD23&lt;&gt;"",BD23-BD24,"")</f>
        <v/>
      </c>
      <c r="BE25" s="177" t="str">
        <f>IF(BE23&lt;&gt;"",BE23-BE24,"")</f>
        <v/>
      </c>
      <c r="BF25" s="177" t="str">
        <f>IF(BF23&lt;&gt;"",BF23-BF24,"")</f>
        <v/>
      </c>
      <c r="BG25" s="177">
        <f>IF(BG23&lt;&gt;"",BG23-BG24,"")</f>
        <v>4</v>
      </c>
      <c r="BH25" s="177" t="str">
        <f>IF(BH23&lt;&gt;"",BH23-BH24,"")</f>
        <v/>
      </c>
      <c r="BI25" s="177">
        <f>IF(BI23&lt;&gt;"",BI23-BI24,"")</f>
        <v>5</v>
      </c>
      <c r="BJ25" s="177" t="str">
        <f>IF(BJ23&lt;&gt;"",BJ23-BJ24,"")</f>
        <v/>
      </c>
      <c r="BK25" s="177" t="str">
        <f>IF(BK23&lt;&gt;"",BK23-BK24,"")</f>
        <v/>
      </c>
      <c r="BL25" s="177" t="str">
        <f>IF(BL23&lt;&gt;"",BL23-BL24,"")</f>
        <v/>
      </c>
      <c r="BM25" s="177" t="str">
        <f>IF(BM23&lt;&gt;"",BM23-BM24,"")</f>
        <v/>
      </c>
      <c r="BN25" s="177" t="str">
        <f>IF(BN23&lt;&gt;"",BN23-BN24,"")</f>
        <v/>
      </c>
      <c r="BO25" s="177" t="str">
        <f>IF(BO23&lt;&gt;"",BO23-BO24,"")</f>
        <v/>
      </c>
      <c r="BP25" s="177" t="str">
        <f>IF(BP23&lt;&gt;"",BP23-BP24,"")</f>
        <v/>
      </c>
      <c r="BQ25" s="177" t="str">
        <f>IF(BQ23&lt;&gt;"",BQ23-BQ24,"")</f>
        <v/>
      </c>
      <c r="BR25" s="177" t="str">
        <f>IF(BR23&lt;&gt;"",BR23-BR24,"")</f>
        <v/>
      </c>
      <c r="BS25" s="177" t="str">
        <f>IF(BS23&lt;&gt;"",BS23-BS24,"")</f>
        <v/>
      </c>
      <c r="BT25" s="177" t="str">
        <f>IF(BT23&lt;&gt;"",BT23-BT24,"")</f>
        <v/>
      </c>
      <c r="BU25" s="177" t="str">
        <f>IF(BU23&lt;&gt;"",BU23-BU24,"")</f>
        <v/>
      </c>
      <c r="BV25" s="177" t="str">
        <f>IF(BV23&lt;&gt;"",BV23-BV24,"")</f>
        <v/>
      </c>
      <c r="BW25" s="177" t="str">
        <f>IF(BW23&lt;&gt;"",BW23-BW24,"")</f>
        <v/>
      </c>
      <c r="BX25" s="177" t="str">
        <f>IF(BX23&lt;&gt;"",BX23-BX24,"")</f>
        <v/>
      </c>
      <c r="BY25" s="177" t="str">
        <f>IF(BY23&lt;&gt;"",BY23-BY24,"")</f>
        <v/>
      </c>
      <c r="BZ25" s="177" t="str">
        <f>IF(BZ23&lt;&gt;"",BZ23-BZ24,"")</f>
        <v/>
      </c>
      <c r="CA25" s="177" t="str">
        <f>IF(CA23&lt;&gt;"",CA23-CA24,"")</f>
        <v/>
      </c>
      <c r="CB25" s="177">
        <f>IF(CB23&lt;&gt;"",CB23-CB24,"")</f>
        <v>4</v>
      </c>
      <c r="CC25" s="177">
        <f>IF(CC23&lt;&gt;"",CC23-CC24,"")</f>
        <v>4</v>
      </c>
      <c r="CD25" s="177">
        <f>IF(CD23&lt;&gt;"",CD23-CD24,"")</f>
        <v>5</v>
      </c>
      <c r="CE25" s="177">
        <f>IF(CE23&lt;&gt;"",CE23-CE24,"")</f>
        <v>4</v>
      </c>
      <c r="CF25" s="177">
        <f>IF(CF23&lt;&gt;"",CF23-CF24,"")</f>
        <v>5</v>
      </c>
      <c r="CG25" s="177">
        <f>IF(CG23&lt;&gt;"",CG23-CG24,"")</f>
        <v>4</v>
      </c>
      <c r="CH25" s="177">
        <f>IF(CH23&lt;&gt;"",CH23-CH24,"")</f>
        <v>5</v>
      </c>
      <c r="CI25" s="177"/>
      <c r="CJ25" s="178"/>
    </row>
    <row r="26" spans="3:88" ht="13.5" thickTop="1" x14ac:dyDescent="0.2">
      <c r="C26" s="165"/>
      <c r="D26" s="166"/>
      <c r="E26" s="166" t="s">
        <v>282</v>
      </c>
      <c r="F26" s="166" t="s">
        <v>97</v>
      </c>
      <c r="G26" s="166" t="s">
        <v>291</v>
      </c>
      <c r="H26" s="167"/>
      <c r="I26" s="170"/>
      <c r="J26" s="168">
        <v>3</v>
      </c>
      <c r="K26" s="168">
        <v>4</v>
      </c>
      <c r="L26" s="170"/>
      <c r="M26" s="170"/>
      <c r="N26" s="170"/>
      <c r="O26" s="170"/>
      <c r="P26" s="170"/>
      <c r="Q26" s="170"/>
      <c r="R26" s="170"/>
      <c r="S26" s="168">
        <v>5</v>
      </c>
      <c r="T26" s="170"/>
      <c r="U26" s="168">
        <v>2</v>
      </c>
      <c r="V26" s="170"/>
      <c r="W26" s="170"/>
      <c r="X26" s="170"/>
      <c r="Y26" s="170"/>
      <c r="Z26" s="170"/>
      <c r="AA26" s="170"/>
      <c r="AB26" s="170"/>
      <c r="AC26" s="170"/>
      <c r="AD26" s="170"/>
      <c r="AE26" s="170"/>
      <c r="AF26" s="169">
        <v>4</v>
      </c>
      <c r="AG26" s="169">
        <v>4</v>
      </c>
      <c r="AH26" s="168">
        <v>1</v>
      </c>
      <c r="AI26" s="170"/>
      <c r="AJ26" s="170"/>
      <c r="AK26" s="168">
        <v>3</v>
      </c>
      <c r="AL26" s="168">
        <v>2</v>
      </c>
      <c r="AM26" s="170"/>
      <c r="AN26" s="170"/>
      <c r="AO26" s="170"/>
      <c r="AP26" s="170"/>
      <c r="AQ26" s="170"/>
      <c r="AR26" s="168">
        <v>3</v>
      </c>
      <c r="AS26" s="170"/>
      <c r="AT26" s="169">
        <v>5</v>
      </c>
      <c r="AU26" s="169">
        <v>3</v>
      </c>
      <c r="AV26" s="170"/>
      <c r="AW26" s="170"/>
      <c r="AX26" s="169">
        <v>5</v>
      </c>
      <c r="AY26" s="169">
        <v>5</v>
      </c>
      <c r="AZ26" s="170"/>
      <c r="BA26" s="168">
        <v>2</v>
      </c>
      <c r="BB26" s="168">
        <v>4</v>
      </c>
      <c r="BC26" s="168">
        <v>3</v>
      </c>
      <c r="BD26" s="170"/>
      <c r="BE26" s="170"/>
      <c r="BF26" s="170"/>
      <c r="BG26" s="168">
        <v>4</v>
      </c>
      <c r="BH26" s="170"/>
      <c r="BI26" s="169">
        <v>5</v>
      </c>
      <c r="BJ26" s="170"/>
      <c r="BK26" s="170"/>
      <c r="BL26" s="170"/>
      <c r="BM26" s="170"/>
      <c r="BN26" s="170"/>
      <c r="BO26" s="170"/>
      <c r="BP26" s="170"/>
      <c r="BQ26" s="170"/>
      <c r="BR26" s="170"/>
      <c r="BS26" s="170"/>
      <c r="BT26" s="170"/>
      <c r="BU26" s="170"/>
      <c r="BV26" s="170"/>
      <c r="BW26" s="170"/>
      <c r="BX26" s="170"/>
      <c r="BY26" s="170"/>
      <c r="BZ26" s="170"/>
      <c r="CA26" s="170"/>
      <c r="CB26" s="169">
        <v>4</v>
      </c>
      <c r="CC26" s="169">
        <v>4</v>
      </c>
      <c r="CD26" s="168">
        <v>5</v>
      </c>
      <c r="CE26" s="169">
        <v>4</v>
      </c>
      <c r="CF26" s="168">
        <v>5</v>
      </c>
      <c r="CG26" s="168">
        <v>4</v>
      </c>
      <c r="CH26" s="169">
        <v>5</v>
      </c>
      <c r="CI26" s="167"/>
      <c r="CJ26" s="171"/>
    </row>
    <row r="27" spans="3:88" x14ac:dyDescent="0.2">
      <c r="C27" s="172"/>
      <c r="D27" s="173" t="s">
        <v>275</v>
      </c>
      <c r="E27" s="173" t="s">
        <v>282</v>
      </c>
      <c r="F27" s="173" t="s">
        <v>97</v>
      </c>
      <c r="G27" s="173" t="s">
        <v>277</v>
      </c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0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174"/>
    </row>
    <row r="28" spans="3:88" ht="13.5" thickBot="1" x14ac:dyDescent="0.25">
      <c r="C28" s="175"/>
      <c r="D28" s="176"/>
      <c r="E28" s="176" t="s">
        <v>282</v>
      </c>
      <c r="F28" s="176" t="s">
        <v>97</v>
      </c>
      <c r="G28" s="176" t="s">
        <v>292</v>
      </c>
      <c r="H28" s="177"/>
      <c r="I28" s="177" t="str">
        <f>IF(I26&lt;&gt;"",I26-I27,"")</f>
        <v/>
      </c>
      <c r="J28" s="177">
        <f>IF(J26&lt;&gt;"",J26-J27,"")</f>
        <v>3</v>
      </c>
      <c r="K28" s="177">
        <f>IF(K26&lt;&gt;"",K26-K27,"")</f>
        <v>4</v>
      </c>
      <c r="L28" s="177" t="str">
        <f>IF(L26&lt;&gt;"",L26-L27,"")</f>
        <v/>
      </c>
      <c r="M28" s="177" t="str">
        <f>IF(M26&lt;&gt;"",M26-M27,"")</f>
        <v/>
      </c>
      <c r="N28" s="177" t="str">
        <f>IF(N26&lt;&gt;"",N26-N27,"")</f>
        <v/>
      </c>
      <c r="O28" s="177" t="str">
        <f>IF(O26&lt;&gt;"",O26-O27,"")</f>
        <v/>
      </c>
      <c r="P28" s="177" t="str">
        <f>IF(P26&lt;&gt;"",P26-P27,"")</f>
        <v/>
      </c>
      <c r="Q28" s="177" t="str">
        <f>IF(Q26&lt;&gt;"",Q26-Q27,"")</f>
        <v/>
      </c>
      <c r="R28" s="177" t="str">
        <f>IF(R26&lt;&gt;"",R26-R27,"")</f>
        <v/>
      </c>
      <c r="S28" s="177">
        <f>IF(S26&lt;&gt;"",S26-S27,"")</f>
        <v>5</v>
      </c>
      <c r="T28" s="177" t="str">
        <f>IF(T26&lt;&gt;"",T26-T27,"")</f>
        <v/>
      </c>
      <c r="U28" s="177">
        <f>IF(U26&lt;&gt;"",U26-U27,"")</f>
        <v>2</v>
      </c>
      <c r="V28" s="177" t="str">
        <f>IF(V26&lt;&gt;"",V26-V27,"")</f>
        <v/>
      </c>
      <c r="W28" s="177" t="str">
        <f>IF(W26&lt;&gt;"",W26-W27,"")</f>
        <v/>
      </c>
      <c r="X28" s="177" t="str">
        <f>IF(X26&lt;&gt;"",X26-X27,"")</f>
        <v/>
      </c>
      <c r="Y28" s="177" t="str">
        <f>IF(Y26&lt;&gt;"",Y26-Y27,"")</f>
        <v/>
      </c>
      <c r="Z28" s="177" t="str">
        <f>IF(Z26&lt;&gt;"",Z26-Z27,"")</f>
        <v/>
      </c>
      <c r="AA28" s="177" t="str">
        <f>IF(AA26&lt;&gt;"",AA26-AA27,"")</f>
        <v/>
      </c>
      <c r="AB28" s="177" t="str">
        <f>IF(AB26&lt;&gt;"",AB26-AB27,"")</f>
        <v/>
      </c>
      <c r="AC28" s="177" t="str">
        <f>IF(AC26&lt;&gt;"",AC26-AC27,"")</f>
        <v/>
      </c>
      <c r="AD28" s="177" t="str">
        <f>IF(AD26&lt;&gt;"",AD26-AD27,"")</f>
        <v/>
      </c>
      <c r="AE28" s="177" t="str">
        <f>IF(AE26&lt;&gt;"",AE26-AE27,"")</f>
        <v/>
      </c>
      <c r="AF28" s="177">
        <f>IF(AF26&lt;&gt;"",AF26-AF27,"")</f>
        <v>4</v>
      </c>
      <c r="AG28" s="177">
        <f>IF(AG26&lt;&gt;"",AG26-AG27,"")</f>
        <v>4</v>
      </c>
      <c r="AH28" s="177">
        <f>IF(AH26&lt;&gt;"",AH26-AH27,"")</f>
        <v>1</v>
      </c>
      <c r="AI28" s="177" t="str">
        <f>IF(AI26&lt;&gt;"",AI26-AI27,"")</f>
        <v/>
      </c>
      <c r="AJ28" s="177" t="str">
        <f>IF(AJ26&lt;&gt;"",AJ26-AJ27,"")</f>
        <v/>
      </c>
      <c r="AK28" s="177">
        <f>IF(AK26&lt;&gt;"",AK26-AK27,"")</f>
        <v>3</v>
      </c>
      <c r="AL28" s="177">
        <f>IF(AL26&lt;&gt;"",AL26-AL27,"")</f>
        <v>2</v>
      </c>
      <c r="AM28" s="177" t="str">
        <f>IF(AM26&lt;&gt;"",AM26-AM27,"")</f>
        <v/>
      </c>
      <c r="AN28" s="177" t="str">
        <f>IF(AN26&lt;&gt;"",AN26-AN27,"")</f>
        <v/>
      </c>
      <c r="AO28" s="177" t="str">
        <f>IF(AO26&lt;&gt;"",AO26-AO27,"")</f>
        <v/>
      </c>
      <c r="AP28" s="177" t="str">
        <f>IF(AP26&lt;&gt;"",AP26-AP27,"")</f>
        <v/>
      </c>
      <c r="AQ28" s="177" t="str">
        <f>IF(AQ26&lt;&gt;"",AQ26-AQ27,"")</f>
        <v/>
      </c>
      <c r="AR28" s="177">
        <f>IF(AR26&lt;&gt;"",AR26-AR27,"")</f>
        <v>3</v>
      </c>
      <c r="AS28" s="177" t="str">
        <f>IF(AS26&lt;&gt;"",AS26-AS27,"")</f>
        <v/>
      </c>
      <c r="AT28" s="177">
        <f>IF(AT26&lt;&gt;"",AT26-AT27,"")</f>
        <v>5</v>
      </c>
      <c r="AU28" s="177">
        <f>IF(AU26&lt;&gt;"",AU26-AU27,"")</f>
        <v>3</v>
      </c>
      <c r="AV28" s="177" t="str">
        <f>IF(AV26&lt;&gt;"",AV26-AV27,"")</f>
        <v/>
      </c>
      <c r="AW28" s="177" t="str">
        <f>IF(AW26&lt;&gt;"",AW26-AW27,"")</f>
        <v/>
      </c>
      <c r="AX28" s="177">
        <f>IF(AX26&lt;&gt;"",AX26-AX27,"")</f>
        <v>5</v>
      </c>
      <c r="AY28" s="177">
        <f>IF(AY26&lt;&gt;"",AY26-AY27,"")</f>
        <v>5</v>
      </c>
      <c r="AZ28" s="177" t="str">
        <f>IF(AZ26&lt;&gt;"",AZ26-AZ27,"")</f>
        <v/>
      </c>
      <c r="BA28" s="177">
        <f>IF(BA26&lt;&gt;"",BA26-BA27,"")</f>
        <v>2</v>
      </c>
      <c r="BB28" s="177">
        <f>IF(BB26&lt;&gt;"",BB26-BB27,"")</f>
        <v>4</v>
      </c>
      <c r="BC28" s="177">
        <f>IF(BC26&lt;&gt;"",BC26-BC27,"")</f>
        <v>3</v>
      </c>
      <c r="BD28" s="177" t="str">
        <f>IF(BD26&lt;&gt;"",BD26-BD27,"")</f>
        <v/>
      </c>
      <c r="BE28" s="177" t="str">
        <f>IF(BE26&lt;&gt;"",BE26-BE27,"")</f>
        <v/>
      </c>
      <c r="BF28" s="177" t="str">
        <f>IF(BF26&lt;&gt;"",BF26-BF27,"")</f>
        <v/>
      </c>
      <c r="BG28" s="177">
        <f>IF(BG26&lt;&gt;"",BG26-BG27,"")</f>
        <v>4</v>
      </c>
      <c r="BH28" s="177" t="str">
        <f>IF(BH26&lt;&gt;"",BH26-BH27,"")</f>
        <v/>
      </c>
      <c r="BI28" s="177">
        <f>IF(BI26&lt;&gt;"",BI26-BI27,"")</f>
        <v>5</v>
      </c>
      <c r="BJ28" s="177" t="str">
        <f>IF(BJ26&lt;&gt;"",BJ26-BJ27,"")</f>
        <v/>
      </c>
      <c r="BK28" s="177" t="str">
        <f>IF(BK26&lt;&gt;"",BK26-BK27,"")</f>
        <v/>
      </c>
      <c r="BL28" s="177" t="str">
        <f>IF(BL26&lt;&gt;"",BL26-BL27,"")</f>
        <v/>
      </c>
      <c r="BM28" s="177" t="str">
        <f>IF(BM26&lt;&gt;"",BM26-BM27,"")</f>
        <v/>
      </c>
      <c r="BN28" s="177" t="str">
        <f>IF(BN26&lt;&gt;"",BN26-BN27,"")</f>
        <v/>
      </c>
      <c r="BO28" s="177" t="str">
        <f>IF(BO26&lt;&gt;"",BO26-BO27,"")</f>
        <v/>
      </c>
      <c r="BP28" s="177" t="str">
        <f>IF(BP26&lt;&gt;"",BP26-BP27,"")</f>
        <v/>
      </c>
      <c r="BQ28" s="177" t="str">
        <f>IF(BQ26&lt;&gt;"",BQ26-BQ27,"")</f>
        <v/>
      </c>
      <c r="BR28" s="177" t="str">
        <f>IF(BR26&lt;&gt;"",BR26-BR27,"")</f>
        <v/>
      </c>
      <c r="BS28" s="177" t="str">
        <f>IF(BS26&lt;&gt;"",BS26-BS27,"")</f>
        <v/>
      </c>
      <c r="BT28" s="177" t="str">
        <f>IF(BT26&lt;&gt;"",BT26-BT27,"")</f>
        <v/>
      </c>
      <c r="BU28" s="177" t="str">
        <f>IF(BU26&lt;&gt;"",BU26-BU27,"")</f>
        <v/>
      </c>
      <c r="BV28" s="177" t="str">
        <f>IF(BV26&lt;&gt;"",BV26-BV27,"")</f>
        <v/>
      </c>
      <c r="BW28" s="177" t="str">
        <f>IF(BW26&lt;&gt;"",BW26-BW27,"")</f>
        <v/>
      </c>
      <c r="BX28" s="177" t="str">
        <f>IF(BX26&lt;&gt;"",BX26-BX27,"")</f>
        <v/>
      </c>
      <c r="BY28" s="177" t="str">
        <f>IF(BY26&lt;&gt;"",BY26-BY27,"")</f>
        <v/>
      </c>
      <c r="BZ28" s="177" t="str">
        <f>IF(BZ26&lt;&gt;"",BZ26-BZ27,"")</f>
        <v/>
      </c>
      <c r="CA28" s="177" t="str">
        <f>IF(CA26&lt;&gt;"",CA26-CA27,"")</f>
        <v/>
      </c>
      <c r="CB28" s="177">
        <f>IF(CB26&lt;&gt;"",CB26-CB27,"")</f>
        <v>4</v>
      </c>
      <c r="CC28" s="177">
        <f>IF(CC26&lt;&gt;"",CC26-CC27,"")</f>
        <v>4</v>
      </c>
      <c r="CD28" s="177">
        <f>IF(CD26&lt;&gt;"",CD26-CD27,"")</f>
        <v>5</v>
      </c>
      <c r="CE28" s="177">
        <f>IF(CE26&lt;&gt;"",CE26-CE27,"")</f>
        <v>4</v>
      </c>
      <c r="CF28" s="177">
        <f>IF(CF26&lt;&gt;"",CF26-CF27,"")</f>
        <v>5</v>
      </c>
      <c r="CG28" s="177">
        <f>IF(CG26&lt;&gt;"",CG26-CG27,"")</f>
        <v>4</v>
      </c>
      <c r="CH28" s="177">
        <f>IF(CH26&lt;&gt;"",CH26-CH27,"")</f>
        <v>5</v>
      </c>
      <c r="CI28" s="177"/>
      <c r="CJ28" s="178"/>
    </row>
    <row r="29" spans="3:88" ht="13.5" thickTop="1" x14ac:dyDescent="0.2">
      <c r="C29" s="165"/>
      <c r="D29" s="166"/>
      <c r="E29" s="166" t="s">
        <v>283</v>
      </c>
      <c r="F29" s="166" t="s">
        <v>97</v>
      </c>
      <c r="G29" s="166" t="s">
        <v>291</v>
      </c>
      <c r="H29" s="167"/>
      <c r="I29" s="170"/>
      <c r="J29" s="168">
        <v>3</v>
      </c>
      <c r="K29" s="168">
        <v>4</v>
      </c>
      <c r="L29" s="170"/>
      <c r="M29" s="170"/>
      <c r="N29" s="170"/>
      <c r="O29" s="170"/>
      <c r="P29" s="170"/>
      <c r="Q29" s="170"/>
      <c r="R29" s="170"/>
      <c r="S29" s="168">
        <v>5</v>
      </c>
      <c r="T29" s="170"/>
      <c r="U29" s="168">
        <v>2</v>
      </c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69">
        <v>4</v>
      </c>
      <c r="AG29" s="169">
        <v>4</v>
      </c>
      <c r="AH29" s="168">
        <v>1</v>
      </c>
      <c r="AI29" s="170"/>
      <c r="AJ29" s="170"/>
      <c r="AK29" s="168">
        <v>3</v>
      </c>
      <c r="AL29" s="168">
        <v>2</v>
      </c>
      <c r="AM29" s="170"/>
      <c r="AN29" s="170"/>
      <c r="AO29" s="170"/>
      <c r="AP29" s="170"/>
      <c r="AQ29" s="170"/>
      <c r="AR29" s="168">
        <v>3</v>
      </c>
      <c r="AS29" s="170"/>
      <c r="AT29" s="169">
        <v>5</v>
      </c>
      <c r="AU29" s="169">
        <v>3</v>
      </c>
      <c r="AV29" s="170"/>
      <c r="AW29" s="170"/>
      <c r="AX29" s="169">
        <v>5</v>
      </c>
      <c r="AY29" s="169">
        <v>5</v>
      </c>
      <c r="AZ29" s="170"/>
      <c r="BA29" s="168">
        <v>2</v>
      </c>
      <c r="BB29" s="168">
        <v>4</v>
      </c>
      <c r="BC29" s="168">
        <v>3</v>
      </c>
      <c r="BD29" s="170"/>
      <c r="BE29" s="170"/>
      <c r="BF29" s="170"/>
      <c r="BG29" s="168">
        <v>4</v>
      </c>
      <c r="BH29" s="170"/>
      <c r="BI29" s="169">
        <v>5</v>
      </c>
      <c r="BJ29" s="170"/>
      <c r="BK29" s="170"/>
      <c r="BL29" s="170"/>
      <c r="BM29" s="170"/>
      <c r="BN29" s="170"/>
      <c r="BO29" s="170"/>
      <c r="BP29" s="170"/>
      <c r="BQ29" s="170"/>
      <c r="BR29" s="170"/>
      <c r="BS29" s="170"/>
      <c r="BT29" s="170"/>
      <c r="BU29" s="170"/>
      <c r="BV29" s="170"/>
      <c r="BW29" s="170"/>
      <c r="BX29" s="170"/>
      <c r="BY29" s="170"/>
      <c r="BZ29" s="170"/>
      <c r="CA29" s="170"/>
      <c r="CB29" s="169">
        <v>4</v>
      </c>
      <c r="CC29" s="169">
        <v>4</v>
      </c>
      <c r="CD29" s="168">
        <v>5</v>
      </c>
      <c r="CE29" s="169">
        <v>4</v>
      </c>
      <c r="CF29" s="168">
        <v>5</v>
      </c>
      <c r="CG29" s="168">
        <v>4</v>
      </c>
      <c r="CH29" s="169">
        <v>5</v>
      </c>
      <c r="CI29" s="167"/>
      <c r="CJ29" s="171"/>
    </row>
    <row r="30" spans="3:88" x14ac:dyDescent="0.2">
      <c r="C30" s="172"/>
      <c r="D30" s="173" t="s">
        <v>275</v>
      </c>
      <c r="E30" s="173" t="s">
        <v>283</v>
      </c>
      <c r="F30" s="173" t="s">
        <v>97</v>
      </c>
      <c r="G30" s="173" t="s">
        <v>277</v>
      </c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0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174"/>
    </row>
    <row r="31" spans="3:88" ht="13.5" thickBot="1" x14ac:dyDescent="0.25">
      <c r="C31" s="175"/>
      <c r="D31" s="176"/>
      <c r="E31" s="176" t="s">
        <v>283</v>
      </c>
      <c r="F31" s="176" t="s">
        <v>97</v>
      </c>
      <c r="G31" s="176" t="s">
        <v>292</v>
      </c>
      <c r="H31" s="177"/>
      <c r="I31" s="177" t="str">
        <f>IF(I29&lt;&gt;"",I29-I30,"")</f>
        <v/>
      </c>
      <c r="J31" s="177">
        <f>IF(J29&lt;&gt;"",J29-J30,"")</f>
        <v>3</v>
      </c>
      <c r="K31" s="177">
        <f>IF(K29&lt;&gt;"",K29-K30,"")</f>
        <v>4</v>
      </c>
      <c r="L31" s="177" t="str">
        <f>IF(L29&lt;&gt;"",L29-L30,"")</f>
        <v/>
      </c>
      <c r="M31" s="177" t="str">
        <f>IF(M29&lt;&gt;"",M29-M30,"")</f>
        <v/>
      </c>
      <c r="N31" s="177" t="str">
        <f>IF(N29&lt;&gt;"",N29-N30,"")</f>
        <v/>
      </c>
      <c r="O31" s="177" t="str">
        <f>IF(O29&lt;&gt;"",O29-O30,"")</f>
        <v/>
      </c>
      <c r="P31" s="177" t="str">
        <f>IF(P29&lt;&gt;"",P29-P30,"")</f>
        <v/>
      </c>
      <c r="Q31" s="177" t="str">
        <f>IF(Q29&lt;&gt;"",Q29-Q30,"")</f>
        <v/>
      </c>
      <c r="R31" s="177" t="str">
        <f>IF(R29&lt;&gt;"",R29-R30,"")</f>
        <v/>
      </c>
      <c r="S31" s="177">
        <f>IF(S29&lt;&gt;"",S29-S30,"")</f>
        <v>5</v>
      </c>
      <c r="T31" s="177" t="str">
        <f>IF(T29&lt;&gt;"",T29-T30,"")</f>
        <v/>
      </c>
      <c r="U31" s="177">
        <f>IF(U29&lt;&gt;"",U29-U30,"")</f>
        <v>2</v>
      </c>
      <c r="V31" s="177" t="str">
        <f>IF(V29&lt;&gt;"",V29-V30,"")</f>
        <v/>
      </c>
      <c r="W31" s="177" t="str">
        <f>IF(W29&lt;&gt;"",W29-W30,"")</f>
        <v/>
      </c>
      <c r="X31" s="177" t="str">
        <f>IF(X29&lt;&gt;"",X29-X30,"")</f>
        <v/>
      </c>
      <c r="Y31" s="177" t="str">
        <f>IF(Y29&lt;&gt;"",Y29-Y30,"")</f>
        <v/>
      </c>
      <c r="Z31" s="177" t="str">
        <f>IF(Z29&lt;&gt;"",Z29-Z30,"")</f>
        <v/>
      </c>
      <c r="AA31" s="177" t="str">
        <f>IF(AA29&lt;&gt;"",AA29-AA30,"")</f>
        <v/>
      </c>
      <c r="AB31" s="177" t="str">
        <f>IF(AB29&lt;&gt;"",AB29-AB30,"")</f>
        <v/>
      </c>
      <c r="AC31" s="177" t="str">
        <f>IF(AC29&lt;&gt;"",AC29-AC30,"")</f>
        <v/>
      </c>
      <c r="AD31" s="177" t="str">
        <f>IF(AD29&lt;&gt;"",AD29-AD30,"")</f>
        <v/>
      </c>
      <c r="AE31" s="177" t="str">
        <f>IF(AE29&lt;&gt;"",AE29-AE30,"")</f>
        <v/>
      </c>
      <c r="AF31" s="177">
        <f>IF(AF29&lt;&gt;"",AF29-AF30,"")</f>
        <v>4</v>
      </c>
      <c r="AG31" s="177">
        <f>IF(AG29&lt;&gt;"",AG29-AG30,"")</f>
        <v>4</v>
      </c>
      <c r="AH31" s="177">
        <f>IF(AH29&lt;&gt;"",AH29-AH30,"")</f>
        <v>1</v>
      </c>
      <c r="AI31" s="177" t="str">
        <f>IF(AI29&lt;&gt;"",AI29-AI30,"")</f>
        <v/>
      </c>
      <c r="AJ31" s="177" t="str">
        <f>IF(AJ29&lt;&gt;"",AJ29-AJ30,"")</f>
        <v/>
      </c>
      <c r="AK31" s="177">
        <f>IF(AK29&lt;&gt;"",AK29-AK30,"")</f>
        <v>3</v>
      </c>
      <c r="AL31" s="177">
        <f>IF(AL29&lt;&gt;"",AL29-AL30,"")</f>
        <v>2</v>
      </c>
      <c r="AM31" s="177" t="str">
        <f>IF(AM29&lt;&gt;"",AM29-AM30,"")</f>
        <v/>
      </c>
      <c r="AN31" s="177" t="str">
        <f>IF(AN29&lt;&gt;"",AN29-AN30,"")</f>
        <v/>
      </c>
      <c r="AO31" s="177" t="str">
        <f>IF(AO29&lt;&gt;"",AO29-AO30,"")</f>
        <v/>
      </c>
      <c r="AP31" s="177" t="str">
        <f>IF(AP29&lt;&gt;"",AP29-AP30,"")</f>
        <v/>
      </c>
      <c r="AQ31" s="177" t="str">
        <f>IF(AQ29&lt;&gt;"",AQ29-AQ30,"")</f>
        <v/>
      </c>
      <c r="AR31" s="177">
        <f>IF(AR29&lt;&gt;"",AR29-AR30,"")</f>
        <v>3</v>
      </c>
      <c r="AS31" s="177" t="str">
        <f>IF(AS29&lt;&gt;"",AS29-AS30,"")</f>
        <v/>
      </c>
      <c r="AT31" s="177">
        <f>IF(AT29&lt;&gt;"",AT29-AT30,"")</f>
        <v>5</v>
      </c>
      <c r="AU31" s="177">
        <f>IF(AU29&lt;&gt;"",AU29-AU30,"")</f>
        <v>3</v>
      </c>
      <c r="AV31" s="177" t="str">
        <f>IF(AV29&lt;&gt;"",AV29-AV30,"")</f>
        <v/>
      </c>
      <c r="AW31" s="177" t="str">
        <f>IF(AW29&lt;&gt;"",AW29-AW30,"")</f>
        <v/>
      </c>
      <c r="AX31" s="177">
        <f>IF(AX29&lt;&gt;"",AX29-AX30,"")</f>
        <v>5</v>
      </c>
      <c r="AY31" s="177">
        <f>IF(AY29&lt;&gt;"",AY29-AY30,"")</f>
        <v>5</v>
      </c>
      <c r="AZ31" s="177" t="str">
        <f>IF(AZ29&lt;&gt;"",AZ29-AZ30,"")</f>
        <v/>
      </c>
      <c r="BA31" s="177">
        <f>IF(BA29&lt;&gt;"",BA29-BA30,"")</f>
        <v>2</v>
      </c>
      <c r="BB31" s="177">
        <f>IF(BB29&lt;&gt;"",BB29-BB30,"")</f>
        <v>4</v>
      </c>
      <c r="BC31" s="177">
        <f>IF(BC29&lt;&gt;"",BC29-BC30,"")</f>
        <v>3</v>
      </c>
      <c r="BD31" s="177" t="str">
        <f>IF(BD29&lt;&gt;"",BD29-BD30,"")</f>
        <v/>
      </c>
      <c r="BE31" s="177" t="str">
        <f>IF(BE29&lt;&gt;"",BE29-BE30,"")</f>
        <v/>
      </c>
      <c r="BF31" s="177" t="str">
        <f>IF(BF29&lt;&gt;"",BF29-BF30,"")</f>
        <v/>
      </c>
      <c r="BG31" s="177">
        <f>IF(BG29&lt;&gt;"",BG29-BG30,"")</f>
        <v>4</v>
      </c>
      <c r="BH31" s="177" t="str">
        <f>IF(BH29&lt;&gt;"",BH29-BH30,"")</f>
        <v/>
      </c>
      <c r="BI31" s="177">
        <f>IF(BI29&lt;&gt;"",BI29-BI30,"")</f>
        <v>5</v>
      </c>
      <c r="BJ31" s="177" t="str">
        <f>IF(BJ29&lt;&gt;"",BJ29-BJ30,"")</f>
        <v/>
      </c>
      <c r="BK31" s="177" t="str">
        <f>IF(BK29&lt;&gt;"",BK29-BK30,"")</f>
        <v/>
      </c>
      <c r="BL31" s="177" t="str">
        <f>IF(BL29&lt;&gt;"",BL29-BL30,"")</f>
        <v/>
      </c>
      <c r="BM31" s="177" t="str">
        <f>IF(BM29&lt;&gt;"",BM29-BM30,"")</f>
        <v/>
      </c>
      <c r="BN31" s="177" t="str">
        <f>IF(BN29&lt;&gt;"",BN29-BN30,"")</f>
        <v/>
      </c>
      <c r="BO31" s="177" t="str">
        <f>IF(BO29&lt;&gt;"",BO29-BO30,"")</f>
        <v/>
      </c>
      <c r="BP31" s="177" t="str">
        <f>IF(BP29&lt;&gt;"",BP29-BP30,"")</f>
        <v/>
      </c>
      <c r="BQ31" s="177" t="str">
        <f>IF(BQ29&lt;&gt;"",BQ29-BQ30,"")</f>
        <v/>
      </c>
      <c r="BR31" s="177" t="str">
        <f>IF(BR29&lt;&gt;"",BR29-BR30,"")</f>
        <v/>
      </c>
      <c r="BS31" s="177" t="str">
        <f>IF(BS29&lt;&gt;"",BS29-BS30,"")</f>
        <v/>
      </c>
      <c r="BT31" s="177" t="str">
        <f>IF(BT29&lt;&gt;"",BT29-BT30,"")</f>
        <v/>
      </c>
      <c r="BU31" s="177" t="str">
        <f>IF(BU29&lt;&gt;"",BU29-BU30,"")</f>
        <v/>
      </c>
      <c r="BV31" s="177" t="str">
        <f>IF(BV29&lt;&gt;"",BV29-BV30,"")</f>
        <v/>
      </c>
      <c r="BW31" s="177" t="str">
        <f>IF(BW29&lt;&gt;"",BW29-BW30,"")</f>
        <v/>
      </c>
      <c r="BX31" s="177" t="str">
        <f>IF(BX29&lt;&gt;"",BX29-BX30,"")</f>
        <v/>
      </c>
      <c r="BY31" s="177" t="str">
        <f>IF(BY29&lt;&gt;"",BY29-BY30,"")</f>
        <v/>
      </c>
      <c r="BZ31" s="177" t="str">
        <f>IF(BZ29&lt;&gt;"",BZ29-BZ30,"")</f>
        <v/>
      </c>
      <c r="CA31" s="177" t="str">
        <f>IF(CA29&lt;&gt;"",CA29-CA30,"")</f>
        <v/>
      </c>
      <c r="CB31" s="177">
        <f>IF(CB29&lt;&gt;"",CB29-CB30,"")</f>
        <v>4</v>
      </c>
      <c r="CC31" s="177">
        <f>IF(CC29&lt;&gt;"",CC29-CC30,"")</f>
        <v>4</v>
      </c>
      <c r="CD31" s="177">
        <f>IF(CD29&lt;&gt;"",CD29-CD30,"")</f>
        <v>5</v>
      </c>
      <c r="CE31" s="177">
        <f>IF(CE29&lt;&gt;"",CE29-CE30,"")</f>
        <v>4</v>
      </c>
      <c r="CF31" s="177">
        <f>IF(CF29&lt;&gt;"",CF29-CF30,"")</f>
        <v>5</v>
      </c>
      <c r="CG31" s="177">
        <f>IF(CG29&lt;&gt;"",CG29-CG30,"")</f>
        <v>4</v>
      </c>
      <c r="CH31" s="177">
        <f>IF(CH29&lt;&gt;"",CH29-CH30,"")</f>
        <v>5</v>
      </c>
      <c r="CI31" s="177"/>
      <c r="CJ31" s="178"/>
    </row>
    <row r="32" spans="3:88" ht="13.5" thickTop="1" x14ac:dyDescent="0.2">
      <c r="C32" s="165"/>
      <c r="D32" s="166"/>
      <c r="E32" s="166" t="s">
        <v>284</v>
      </c>
      <c r="F32" s="166" t="s">
        <v>97</v>
      </c>
      <c r="G32" s="166" t="s">
        <v>291</v>
      </c>
      <c r="H32" s="167"/>
      <c r="I32" s="170"/>
      <c r="J32" s="168">
        <v>3</v>
      </c>
      <c r="K32" s="168">
        <v>4</v>
      </c>
      <c r="L32" s="170"/>
      <c r="M32" s="170"/>
      <c r="N32" s="170"/>
      <c r="O32" s="170"/>
      <c r="P32" s="170"/>
      <c r="Q32" s="170"/>
      <c r="R32" s="170"/>
      <c r="S32" s="168">
        <v>5</v>
      </c>
      <c r="T32" s="170"/>
      <c r="U32" s="168">
        <v>2</v>
      </c>
      <c r="V32" s="170"/>
      <c r="W32" s="170"/>
      <c r="X32" s="170"/>
      <c r="Y32" s="170"/>
      <c r="Z32" s="170"/>
      <c r="AA32" s="170"/>
      <c r="AB32" s="170"/>
      <c r="AC32" s="170"/>
      <c r="AD32" s="170"/>
      <c r="AE32" s="170"/>
      <c r="AF32" s="169">
        <v>4</v>
      </c>
      <c r="AG32" s="169">
        <v>4</v>
      </c>
      <c r="AH32" s="168">
        <v>1</v>
      </c>
      <c r="AI32" s="170"/>
      <c r="AJ32" s="170"/>
      <c r="AK32" s="168">
        <v>3</v>
      </c>
      <c r="AL32" s="168">
        <v>2</v>
      </c>
      <c r="AM32" s="170"/>
      <c r="AN32" s="170"/>
      <c r="AO32" s="170"/>
      <c r="AP32" s="170"/>
      <c r="AQ32" s="170"/>
      <c r="AR32" s="168">
        <v>3</v>
      </c>
      <c r="AS32" s="170"/>
      <c r="AT32" s="169">
        <v>5</v>
      </c>
      <c r="AU32" s="169">
        <v>3</v>
      </c>
      <c r="AV32" s="170"/>
      <c r="AW32" s="170"/>
      <c r="AX32" s="169">
        <v>5</v>
      </c>
      <c r="AY32" s="169">
        <v>5</v>
      </c>
      <c r="AZ32" s="170"/>
      <c r="BA32" s="168">
        <v>2</v>
      </c>
      <c r="BB32" s="168">
        <v>4</v>
      </c>
      <c r="BC32" s="168">
        <v>3</v>
      </c>
      <c r="BD32" s="170"/>
      <c r="BE32" s="170"/>
      <c r="BF32" s="170"/>
      <c r="BG32" s="168">
        <v>4</v>
      </c>
      <c r="BH32" s="170"/>
      <c r="BI32" s="169">
        <v>5</v>
      </c>
      <c r="BJ32" s="170"/>
      <c r="BK32" s="170"/>
      <c r="BL32" s="170"/>
      <c r="BM32" s="170"/>
      <c r="BN32" s="170"/>
      <c r="BO32" s="170"/>
      <c r="BP32" s="170"/>
      <c r="BQ32" s="170"/>
      <c r="BR32" s="170"/>
      <c r="BS32" s="170"/>
      <c r="BT32" s="170"/>
      <c r="BU32" s="170"/>
      <c r="BV32" s="170"/>
      <c r="BW32" s="170"/>
      <c r="BX32" s="170"/>
      <c r="BY32" s="170"/>
      <c r="BZ32" s="170"/>
      <c r="CA32" s="170"/>
      <c r="CB32" s="169">
        <v>4</v>
      </c>
      <c r="CC32" s="169">
        <v>4</v>
      </c>
      <c r="CD32" s="168">
        <v>5</v>
      </c>
      <c r="CE32" s="169">
        <v>4</v>
      </c>
      <c r="CF32" s="168">
        <v>5</v>
      </c>
      <c r="CG32" s="168">
        <v>4</v>
      </c>
      <c r="CH32" s="169">
        <v>5</v>
      </c>
      <c r="CI32" s="167"/>
      <c r="CJ32" s="171"/>
    </row>
    <row r="33" spans="3:88" x14ac:dyDescent="0.2">
      <c r="C33" s="172"/>
      <c r="D33" s="173" t="s">
        <v>275</v>
      </c>
      <c r="E33" s="173" t="s">
        <v>284</v>
      </c>
      <c r="F33" s="173" t="s">
        <v>97</v>
      </c>
      <c r="G33" s="173" t="s">
        <v>277</v>
      </c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0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174"/>
    </row>
    <row r="34" spans="3:88" ht="13.5" thickBot="1" x14ac:dyDescent="0.25">
      <c r="C34" s="175"/>
      <c r="D34" s="176"/>
      <c r="E34" s="176" t="s">
        <v>284</v>
      </c>
      <c r="F34" s="176" t="s">
        <v>97</v>
      </c>
      <c r="G34" s="176" t="s">
        <v>292</v>
      </c>
      <c r="H34" s="177"/>
      <c r="I34" s="177" t="str">
        <f>IF(I32&lt;&gt;"",I32-I33,"")</f>
        <v/>
      </c>
      <c r="J34" s="177">
        <f>IF(J32&lt;&gt;"",J32-J33,"")</f>
        <v>3</v>
      </c>
      <c r="K34" s="177">
        <f>IF(K32&lt;&gt;"",K32-K33,"")</f>
        <v>4</v>
      </c>
      <c r="L34" s="177" t="str">
        <f>IF(L32&lt;&gt;"",L32-L33,"")</f>
        <v/>
      </c>
      <c r="M34" s="177" t="str">
        <f>IF(M32&lt;&gt;"",M32-M33,"")</f>
        <v/>
      </c>
      <c r="N34" s="177" t="str">
        <f>IF(N32&lt;&gt;"",N32-N33,"")</f>
        <v/>
      </c>
      <c r="O34" s="177" t="str">
        <f>IF(O32&lt;&gt;"",O32-O33,"")</f>
        <v/>
      </c>
      <c r="P34" s="177" t="str">
        <f>IF(P32&lt;&gt;"",P32-P33,"")</f>
        <v/>
      </c>
      <c r="Q34" s="177" t="str">
        <f>IF(Q32&lt;&gt;"",Q32-Q33,"")</f>
        <v/>
      </c>
      <c r="R34" s="177" t="str">
        <f>IF(R32&lt;&gt;"",R32-R33,"")</f>
        <v/>
      </c>
      <c r="S34" s="177">
        <f>IF(S32&lt;&gt;"",S32-S33,"")</f>
        <v>5</v>
      </c>
      <c r="T34" s="177" t="str">
        <f>IF(T32&lt;&gt;"",T32-T33,"")</f>
        <v/>
      </c>
      <c r="U34" s="177">
        <f>IF(U32&lt;&gt;"",U32-U33,"")</f>
        <v>2</v>
      </c>
      <c r="V34" s="177" t="str">
        <f>IF(V32&lt;&gt;"",V32-V33,"")</f>
        <v/>
      </c>
      <c r="W34" s="177" t="str">
        <f>IF(W32&lt;&gt;"",W32-W33,"")</f>
        <v/>
      </c>
      <c r="X34" s="177" t="str">
        <f>IF(X32&lt;&gt;"",X32-X33,"")</f>
        <v/>
      </c>
      <c r="Y34" s="177" t="str">
        <f>IF(Y32&lt;&gt;"",Y32-Y33,"")</f>
        <v/>
      </c>
      <c r="Z34" s="177" t="str">
        <f>IF(Z32&lt;&gt;"",Z32-Z33,"")</f>
        <v/>
      </c>
      <c r="AA34" s="177" t="str">
        <f>IF(AA32&lt;&gt;"",AA32-AA33,"")</f>
        <v/>
      </c>
      <c r="AB34" s="177" t="str">
        <f>IF(AB32&lt;&gt;"",AB32-AB33,"")</f>
        <v/>
      </c>
      <c r="AC34" s="177" t="str">
        <f>IF(AC32&lt;&gt;"",AC32-AC33,"")</f>
        <v/>
      </c>
      <c r="AD34" s="177" t="str">
        <f>IF(AD32&lt;&gt;"",AD32-AD33,"")</f>
        <v/>
      </c>
      <c r="AE34" s="177" t="str">
        <f>IF(AE32&lt;&gt;"",AE32-AE33,"")</f>
        <v/>
      </c>
      <c r="AF34" s="177">
        <f>IF(AF32&lt;&gt;"",AF32-AF33,"")</f>
        <v>4</v>
      </c>
      <c r="AG34" s="177">
        <f>IF(AG32&lt;&gt;"",AG32-AG33,"")</f>
        <v>4</v>
      </c>
      <c r="AH34" s="177">
        <f>IF(AH32&lt;&gt;"",AH32-AH33,"")</f>
        <v>1</v>
      </c>
      <c r="AI34" s="177" t="str">
        <f>IF(AI32&lt;&gt;"",AI32-AI33,"")</f>
        <v/>
      </c>
      <c r="AJ34" s="177" t="str">
        <f>IF(AJ32&lt;&gt;"",AJ32-AJ33,"")</f>
        <v/>
      </c>
      <c r="AK34" s="177">
        <f>IF(AK32&lt;&gt;"",AK32-AK33,"")</f>
        <v>3</v>
      </c>
      <c r="AL34" s="177">
        <f>IF(AL32&lt;&gt;"",AL32-AL33,"")</f>
        <v>2</v>
      </c>
      <c r="AM34" s="177" t="str">
        <f>IF(AM32&lt;&gt;"",AM32-AM33,"")</f>
        <v/>
      </c>
      <c r="AN34" s="177" t="str">
        <f>IF(AN32&lt;&gt;"",AN32-AN33,"")</f>
        <v/>
      </c>
      <c r="AO34" s="177" t="str">
        <f>IF(AO32&lt;&gt;"",AO32-AO33,"")</f>
        <v/>
      </c>
      <c r="AP34" s="177" t="str">
        <f>IF(AP32&lt;&gt;"",AP32-AP33,"")</f>
        <v/>
      </c>
      <c r="AQ34" s="177" t="str">
        <f>IF(AQ32&lt;&gt;"",AQ32-AQ33,"")</f>
        <v/>
      </c>
      <c r="AR34" s="177">
        <f>IF(AR32&lt;&gt;"",AR32-AR33,"")</f>
        <v>3</v>
      </c>
      <c r="AS34" s="177" t="str">
        <f>IF(AS32&lt;&gt;"",AS32-AS33,"")</f>
        <v/>
      </c>
      <c r="AT34" s="177">
        <f>IF(AT32&lt;&gt;"",AT32-AT33,"")</f>
        <v>5</v>
      </c>
      <c r="AU34" s="177">
        <f>IF(AU32&lt;&gt;"",AU32-AU33,"")</f>
        <v>3</v>
      </c>
      <c r="AV34" s="177" t="str">
        <f>IF(AV32&lt;&gt;"",AV32-AV33,"")</f>
        <v/>
      </c>
      <c r="AW34" s="177" t="str">
        <f>IF(AW32&lt;&gt;"",AW32-AW33,"")</f>
        <v/>
      </c>
      <c r="AX34" s="177">
        <f>IF(AX32&lt;&gt;"",AX32-AX33,"")</f>
        <v>5</v>
      </c>
      <c r="AY34" s="177">
        <f>IF(AY32&lt;&gt;"",AY32-AY33,"")</f>
        <v>5</v>
      </c>
      <c r="AZ34" s="177" t="str">
        <f>IF(AZ32&lt;&gt;"",AZ32-AZ33,"")</f>
        <v/>
      </c>
      <c r="BA34" s="177">
        <f>IF(BA32&lt;&gt;"",BA32-BA33,"")</f>
        <v>2</v>
      </c>
      <c r="BB34" s="177">
        <f>IF(BB32&lt;&gt;"",BB32-BB33,"")</f>
        <v>4</v>
      </c>
      <c r="BC34" s="177">
        <f>IF(BC32&lt;&gt;"",BC32-BC33,"")</f>
        <v>3</v>
      </c>
      <c r="BD34" s="177" t="str">
        <f>IF(BD32&lt;&gt;"",BD32-BD33,"")</f>
        <v/>
      </c>
      <c r="BE34" s="177" t="str">
        <f>IF(BE32&lt;&gt;"",BE32-BE33,"")</f>
        <v/>
      </c>
      <c r="BF34" s="177" t="str">
        <f>IF(BF32&lt;&gt;"",BF32-BF33,"")</f>
        <v/>
      </c>
      <c r="BG34" s="177">
        <f>IF(BG32&lt;&gt;"",BG32-BG33,"")</f>
        <v>4</v>
      </c>
      <c r="BH34" s="177" t="str">
        <f>IF(BH32&lt;&gt;"",BH32-BH33,"")</f>
        <v/>
      </c>
      <c r="BI34" s="177">
        <f>IF(BI32&lt;&gt;"",BI32-BI33,"")</f>
        <v>5</v>
      </c>
      <c r="BJ34" s="177" t="str">
        <f>IF(BJ32&lt;&gt;"",BJ32-BJ33,"")</f>
        <v/>
      </c>
      <c r="BK34" s="177" t="str">
        <f>IF(BK32&lt;&gt;"",BK32-BK33,"")</f>
        <v/>
      </c>
      <c r="BL34" s="177" t="str">
        <f>IF(BL32&lt;&gt;"",BL32-BL33,"")</f>
        <v/>
      </c>
      <c r="BM34" s="177" t="str">
        <f>IF(BM32&lt;&gt;"",BM32-BM33,"")</f>
        <v/>
      </c>
      <c r="BN34" s="177" t="str">
        <f>IF(BN32&lt;&gt;"",BN32-BN33,"")</f>
        <v/>
      </c>
      <c r="BO34" s="177" t="str">
        <f>IF(BO32&lt;&gt;"",BO32-BO33,"")</f>
        <v/>
      </c>
      <c r="BP34" s="177" t="str">
        <f>IF(BP32&lt;&gt;"",BP32-BP33,"")</f>
        <v/>
      </c>
      <c r="BQ34" s="177" t="str">
        <f>IF(BQ32&lt;&gt;"",BQ32-BQ33,"")</f>
        <v/>
      </c>
      <c r="BR34" s="177" t="str">
        <f>IF(BR32&lt;&gt;"",BR32-BR33,"")</f>
        <v/>
      </c>
      <c r="BS34" s="177" t="str">
        <f>IF(BS32&lt;&gt;"",BS32-BS33,"")</f>
        <v/>
      </c>
      <c r="BT34" s="177" t="str">
        <f>IF(BT32&lt;&gt;"",BT32-BT33,"")</f>
        <v/>
      </c>
      <c r="BU34" s="177" t="str">
        <f>IF(BU32&lt;&gt;"",BU32-BU33,"")</f>
        <v/>
      </c>
      <c r="BV34" s="177" t="str">
        <f>IF(BV32&lt;&gt;"",BV32-BV33,"")</f>
        <v/>
      </c>
      <c r="BW34" s="177" t="str">
        <f>IF(BW32&lt;&gt;"",BW32-BW33,"")</f>
        <v/>
      </c>
      <c r="BX34" s="177" t="str">
        <f>IF(BX32&lt;&gt;"",BX32-BX33,"")</f>
        <v/>
      </c>
      <c r="BY34" s="177" t="str">
        <f>IF(BY32&lt;&gt;"",BY32-BY33,"")</f>
        <v/>
      </c>
      <c r="BZ34" s="177" t="str">
        <f>IF(BZ32&lt;&gt;"",BZ32-BZ33,"")</f>
        <v/>
      </c>
      <c r="CA34" s="177" t="str">
        <f>IF(CA32&lt;&gt;"",CA32-CA33,"")</f>
        <v/>
      </c>
      <c r="CB34" s="177">
        <f>IF(CB32&lt;&gt;"",CB32-CB33,"")</f>
        <v>4</v>
      </c>
      <c r="CC34" s="177">
        <f>IF(CC32&lt;&gt;"",CC32-CC33,"")</f>
        <v>4</v>
      </c>
      <c r="CD34" s="177">
        <f>IF(CD32&lt;&gt;"",CD32-CD33,"")</f>
        <v>5</v>
      </c>
      <c r="CE34" s="177">
        <f>IF(CE32&lt;&gt;"",CE32-CE33,"")</f>
        <v>4</v>
      </c>
      <c r="CF34" s="177">
        <f>IF(CF32&lt;&gt;"",CF32-CF33,"")</f>
        <v>5</v>
      </c>
      <c r="CG34" s="177">
        <f>IF(CG32&lt;&gt;"",CG32-CG33,"")</f>
        <v>4</v>
      </c>
      <c r="CH34" s="177">
        <f>IF(CH32&lt;&gt;"",CH32-CH33,"")</f>
        <v>5</v>
      </c>
      <c r="CI34" s="177"/>
      <c r="CJ34" s="178"/>
    </row>
    <row r="35" spans="3:88" ht="13.5" thickTop="1" x14ac:dyDescent="0.2">
      <c r="C35" s="165"/>
      <c r="D35" s="166"/>
      <c r="E35" s="166" t="s">
        <v>285</v>
      </c>
      <c r="F35" s="166" t="s">
        <v>98</v>
      </c>
      <c r="G35" s="166" t="s">
        <v>291</v>
      </c>
      <c r="H35" s="167"/>
      <c r="I35" s="170"/>
      <c r="J35" s="168">
        <v>3</v>
      </c>
      <c r="K35" s="168">
        <v>4</v>
      </c>
      <c r="L35" s="170"/>
      <c r="M35" s="170"/>
      <c r="N35" s="170"/>
      <c r="O35" s="170"/>
      <c r="P35" s="170"/>
      <c r="Q35" s="170"/>
      <c r="R35" s="170"/>
      <c r="S35" s="168">
        <v>5</v>
      </c>
      <c r="T35" s="170"/>
      <c r="U35" s="168">
        <v>2</v>
      </c>
      <c r="V35" s="170"/>
      <c r="W35" s="170"/>
      <c r="X35" s="170"/>
      <c r="Y35" s="170"/>
      <c r="Z35" s="170"/>
      <c r="AA35" s="170"/>
      <c r="AB35" s="170"/>
      <c r="AC35" s="170"/>
      <c r="AD35" s="170"/>
      <c r="AE35" s="170"/>
      <c r="AF35" s="169">
        <v>4</v>
      </c>
      <c r="AG35" s="169">
        <v>4</v>
      </c>
      <c r="AH35" s="168">
        <v>1</v>
      </c>
      <c r="AI35" s="170"/>
      <c r="AJ35" s="170"/>
      <c r="AK35" s="168">
        <v>3</v>
      </c>
      <c r="AL35" s="168">
        <v>2</v>
      </c>
      <c r="AM35" s="170"/>
      <c r="AN35" s="170"/>
      <c r="AO35" s="170"/>
      <c r="AP35" s="170"/>
      <c r="AQ35" s="170"/>
      <c r="AR35" s="168">
        <v>3</v>
      </c>
      <c r="AS35" s="170"/>
      <c r="AT35" s="169">
        <v>5</v>
      </c>
      <c r="AU35" s="169">
        <v>3</v>
      </c>
      <c r="AV35" s="170"/>
      <c r="AW35" s="170"/>
      <c r="AX35" s="169">
        <v>5</v>
      </c>
      <c r="AY35" s="169">
        <v>5</v>
      </c>
      <c r="AZ35" s="170"/>
      <c r="BA35" s="168">
        <v>2</v>
      </c>
      <c r="BB35" s="168">
        <v>4</v>
      </c>
      <c r="BC35" s="168">
        <v>3</v>
      </c>
      <c r="BD35" s="170"/>
      <c r="BE35" s="170"/>
      <c r="BF35" s="170"/>
      <c r="BG35" s="168">
        <v>4</v>
      </c>
      <c r="BH35" s="170"/>
      <c r="BI35" s="169">
        <v>5</v>
      </c>
      <c r="BJ35" s="170"/>
      <c r="BK35" s="170"/>
      <c r="BL35" s="170"/>
      <c r="BM35" s="170"/>
      <c r="BN35" s="170"/>
      <c r="BO35" s="170"/>
      <c r="BP35" s="170"/>
      <c r="BQ35" s="170"/>
      <c r="BR35" s="170"/>
      <c r="BS35" s="170"/>
      <c r="BT35" s="170"/>
      <c r="BU35" s="170"/>
      <c r="BV35" s="170"/>
      <c r="BW35" s="170"/>
      <c r="BX35" s="170"/>
      <c r="BY35" s="170"/>
      <c r="BZ35" s="170"/>
      <c r="CA35" s="170"/>
      <c r="CB35" s="169">
        <v>5</v>
      </c>
      <c r="CC35" s="169">
        <v>6</v>
      </c>
      <c r="CD35" s="168">
        <v>5</v>
      </c>
      <c r="CE35" s="169">
        <v>5</v>
      </c>
      <c r="CF35" s="168">
        <v>5</v>
      </c>
      <c r="CG35" s="168">
        <v>5</v>
      </c>
      <c r="CH35" s="169">
        <v>5</v>
      </c>
      <c r="CI35" s="167"/>
      <c r="CJ35" s="171"/>
    </row>
    <row r="36" spans="3:88" x14ac:dyDescent="0.2">
      <c r="C36" s="172"/>
      <c r="D36" s="173" t="s">
        <v>114</v>
      </c>
      <c r="E36" s="173" t="s">
        <v>285</v>
      </c>
      <c r="F36" s="173" t="s">
        <v>98</v>
      </c>
      <c r="G36" s="173" t="s">
        <v>277</v>
      </c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0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174"/>
    </row>
    <row r="37" spans="3:88" ht="13.5" thickBot="1" x14ac:dyDescent="0.25">
      <c r="C37" s="175"/>
      <c r="D37" s="176"/>
      <c r="E37" s="176" t="s">
        <v>285</v>
      </c>
      <c r="F37" s="176" t="s">
        <v>98</v>
      </c>
      <c r="G37" s="176" t="s">
        <v>292</v>
      </c>
      <c r="H37" s="177"/>
      <c r="I37" s="177" t="str">
        <f>IF(I35&lt;&gt;"",I35-I36,"")</f>
        <v/>
      </c>
      <c r="J37" s="177">
        <f>IF(J35&lt;&gt;"",J35-J36,"")</f>
        <v>3</v>
      </c>
      <c r="K37" s="177">
        <f>IF(K35&lt;&gt;"",K35-K36,"")</f>
        <v>4</v>
      </c>
      <c r="L37" s="177" t="str">
        <f>IF(L35&lt;&gt;"",L35-L36,"")</f>
        <v/>
      </c>
      <c r="M37" s="177" t="str">
        <f>IF(M35&lt;&gt;"",M35-M36,"")</f>
        <v/>
      </c>
      <c r="N37" s="177" t="str">
        <f>IF(N35&lt;&gt;"",N35-N36,"")</f>
        <v/>
      </c>
      <c r="O37" s="177" t="str">
        <f>IF(O35&lt;&gt;"",O35-O36,"")</f>
        <v/>
      </c>
      <c r="P37" s="177" t="str">
        <f>IF(P35&lt;&gt;"",P35-P36,"")</f>
        <v/>
      </c>
      <c r="Q37" s="177" t="str">
        <f>IF(Q35&lt;&gt;"",Q35-Q36,"")</f>
        <v/>
      </c>
      <c r="R37" s="177" t="str">
        <f>IF(R35&lt;&gt;"",R35-R36,"")</f>
        <v/>
      </c>
      <c r="S37" s="177">
        <f>IF(S35&lt;&gt;"",S35-S36,"")</f>
        <v>5</v>
      </c>
      <c r="T37" s="177" t="str">
        <f>IF(T35&lt;&gt;"",T35-T36,"")</f>
        <v/>
      </c>
      <c r="U37" s="177">
        <f>IF(U35&lt;&gt;"",U35-U36,"")</f>
        <v>2</v>
      </c>
      <c r="V37" s="177" t="str">
        <f>IF(V35&lt;&gt;"",V35-V36,"")</f>
        <v/>
      </c>
      <c r="W37" s="177" t="str">
        <f>IF(W35&lt;&gt;"",W35-W36,"")</f>
        <v/>
      </c>
      <c r="X37" s="177" t="str">
        <f>IF(X35&lt;&gt;"",X35-X36,"")</f>
        <v/>
      </c>
      <c r="Y37" s="177" t="str">
        <f>IF(Y35&lt;&gt;"",Y35-Y36,"")</f>
        <v/>
      </c>
      <c r="Z37" s="177" t="str">
        <f>IF(Z35&lt;&gt;"",Z35-Z36,"")</f>
        <v/>
      </c>
      <c r="AA37" s="177" t="str">
        <f>IF(AA35&lt;&gt;"",AA35-AA36,"")</f>
        <v/>
      </c>
      <c r="AB37" s="177" t="str">
        <f>IF(AB35&lt;&gt;"",AB35-AB36,"")</f>
        <v/>
      </c>
      <c r="AC37" s="177" t="str">
        <f>IF(AC35&lt;&gt;"",AC35-AC36,"")</f>
        <v/>
      </c>
      <c r="AD37" s="177" t="str">
        <f>IF(AD35&lt;&gt;"",AD35-AD36,"")</f>
        <v/>
      </c>
      <c r="AE37" s="177" t="str">
        <f>IF(AE35&lt;&gt;"",AE35-AE36,"")</f>
        <v/>
      </c>
      <c r="AF37" s="177">
        <f>IF(AF35&lt;&gt;"",AF35-AF36,"")</f>
        <v>4</v>
      </c>
      <c r="AG37" s="177">
        <f>IF(AG35&lt;&gt;"",AG35-AG36,"")</f>
        <v>4</v>
      </c>
      <c r="AH37" s="177">
        <f>IF(AH35&lt;&gt;"",AH35-AH36,"")</f>
        <v>1</v>
      </c>
      <c r="AI37" s="177" t="str">
        <f>IF(AI35&lt;&gt;"",AI35-AI36,"")</f>
        <v/>
      </c>
      <c r="AJ37" s="177" t="str">
        <f>IF(AJ35&lt;&gt;"",AJ35-AJ36,"")</f>
        <v/>
      </c>
      <c r="AK37" s="177">
        <f>IF(AK35&lt;&gt;"",AK35-AK36,"")</f>
        <v>3</v>
      </c>
      <c r="AL37" s="177">
        <f>IF(AL35&lt;&gt;"",AL35-AL36,"")</f>
        <v>2</v>
      </c>
      <c r="AM37" s="177" t="str">
        <f>IF(AM35&lt;&gt;"",AM35-AM36,"")</f>
        <v/>
      </c>
      <c r="AN37" s="177" t="str">
        <f>IF(AN35&lt;&gt;"",AN35-AN36,"")</f>
        <v/>
      </c>
      <c r="AO37" s="177" t="str">
        <f>IF(AO35&lt;&gt;"",AO35-AO36,"")</f>
        <v/>
      </c>
      <c r="AP37" s="177" t="str">
        <f>IF(AP35&lt;&gt;"",AP35-AP36,"")</f>
        <v/>
      </c>
      <c r="AQ37" s="177" t="str">
        <f>IF(AQ35&lt;&gt;"",AQ35-AQ36,"")</f>
        <v/>
      </c>
      <c r="AR37" s="177">
        <f>IF(AR35&lt;&gt;"",AR35-AR36,"")</f>
        <v>3</v>
      </c>
      <c r="AS37" s="177" t="str">
        <f>IF(AS35&lt;&gt;"",AS35-AS36,"")</f>
        <v/>
      </c>
      <c r="AT37" s="177">
        <f>IF(AT35&lt;&gt;"",AT35-AT36,"")</f>
        <v>5</v>
      </c>
      <c r="AU37" s="177">
        <f>IF(AU35&lt;&gt;"",AU35-AU36,"")</f>
        <v>3</v>
      </c>
      <c r="AV37" s="177" t="str">
        <f>IF(AV35&lt;&gt;"",AV35-AV36,"")</f>
        <v/>
      </c>
      <c r="AW37" s="177" t="str">
        <f>IF(AW35&lt;&gt;"",AW35-AW36,"")</f>
        <v/>
      </c>
      <c r="AX37" s="177">
        <f>IF(AX35&lt;&gt;"",AX35-AX36,"")</f>
        <v>5</v>
      </c>
      <c r="AY37" s="177">
        <f>IF(AY35&lt;&gt;"",AY35-AY36,"")</f>
        <v>5</v>
      </c>
      <c r="AZ37" s="177" t="str">
        <f>IF(AZ35&lt;&gt;"",AZ35-AZ36,"")</f>
        <v/>
      </c>
      <c r="BA37" s="177">
        <f>IF(BA35&lt;&gt;"",BA35-BA36,"")</f>
        <v>2</v>
      </c>
      <c r="BB37" s="177">
        <f>IF(BB35&lt;&gt;"",BB35-BB36,"")</f>
        <v>4</v>
      </c>
      <c r="BC37" s="177">
        <f>IF(BC35&lt;&gt;"",BC35-BC36,"")</f>
        <v>3</v>
      </c>
      <c r="BD37" s="177" t="str">
        <f>IF(BD35&lt;&gt;"",BD35-BD36,"")</f>
        <v/>
      </c>
      <c r="BE37" s="177" t="str">
        <f>IF(BE35&lt;&gt;"",BE35-BE36,"")</f>
        <v/>
      </c>
      <c r="BF37" s="177" t="str">
        <f>IF(BF35&lt;&gt;"",BF35-BF36,"")</f>
        <v/>
      </c>
      <c r="BG37" s="177">
        <f>IF(BG35&lt;&gt;"",BG35-BG36,"")</f>
        <v>4</v>
      </c>
      <c r="BH37" s="177" t="str">
        <f>IF(BH35&lt;&gt;"",BH35-BH36,"")</f>
        <v/>
      </c>
      <c r="BI37" s="177">
        <f>IF(BI35&lt;&gt;"",BI35-BI36,"")</f>
        <v>5</v>
      </c>
      <c r="BJ37" s="177" t="str">
        <f>IF(BJ35&lt;&gt;"",BJ35-BJ36,"")</f>
        <v/>
      </c>
      <c r="BK37" s="177" t="str">
        <f>IF(BK35&lt;&gt;"",BK35-BK36,"")</f>
        <v/>
      </c>
      <c r="BL37" s="177" t="str">
        <f>IF(BL35&lt;&gt;"",BL35-BL36,"")</f>
        <v/>
      </c>
      <c r="BM37" s="177" t="str">
        <f>IF(BM35&lt;&gt;"",BM35-BM36,"")</f>
        <v/>
      </c>
      <c r="BN37" s="177" t="str">
        <f>IF(BN35&lt;&gt;"",BN35-BN36,"")</f>
        <v/>
      </c>
      <c r="BO37" s="177" t="str">
        <f>IF(BO35&lt;&gt;"",BO35-BO36,"")</f>
        <v/>
      </c>
      <c r="BP37" s="177" t="str">
        <f>IF(BP35&lt;&gt;"",BP35-BP36,"")</f>
        <v/>
      </c>
      <c r="BQ37" s="177" t="str">
        <f>IF(BQ35&lt;&gt;"",BQ35-BQ36,"")</f>
        <v/>
      </c>
      <c r="BR37" s="177" t="str">
        <f>IF(BR35&lt;&gt;"",BR35-BR36,"")</f>
        <v/>
      </c>
      <c r="BS37" s="177" t="str">
        <f>IF(BS35&lt;&gt;"",BS35-BS36,"")</f>
        <v/>
      </c>
      <c r="BT37" s="177" t="str">
        <f>IF(BT35&lt;&gt;"",BT35-BT36,"")</f>
        <v/>
      </c>
      <c r="BU37" s="177" t="str">
        <f>IF(BU35&lt;&gt;"",BU35-BU36,"")</f>
        <v/>
      </c>
      <c r="BV37" s="177" t="str">
        <f>IF(BV35&lt;&gt;"",BV35-BV36,"")</f>
        <v/>
      </c>
      <c r="BW37" s="177" t="str">
        <f>IF(BW35&lt;&gt;"",BW35-BW36,"")</f>
        <v/>
      </c>
      <c r="BX37" s="177" t="str">
        <f>IF(BX35&lt;&gt;"",BX35-BX36,"")</f>
        <v/>
      </c>
      <c r="BY37" s="177" t="str">
        <f>IF(BY35&lt;&gt;"",BY35-BY36,"")</f>
        <v/>
      </c>
      <c r="BZ37" s="177" t="str">
        <f>IF(BZ35&lt;&gt;"",BZ35-BZ36,"")</f>
        <v/>
      </c>
      <c r="CA37" s="177" t="str">
        <f>IF(CA35&lt;&gt;"",CA35-CA36,"")</f>
        <v/>
      </c>
      <c r="CB37" s="177">
        <f>IF(CB35&lt;&gt;"",CB35-CB36,"")</f>
        <v>5</v>
      </c>
      <c r="CC37" s="177">
        <f>IF(CC35&lt;&gt;"",CC35-CC36,"")</f>
        <v>6</v>
      </c>
      <c r="CD37" s="177">
        <f>IF(CD35&lt;&gt;"",CD35-CD36,"")</f>
        <v>5</v>
      </c>
      <c r="CE37" s="177">
        <f>IF(CE35&lt;&gt;"",CE35-CE36,"")</f>
        <v>5</v>
      </c>
      <c r="CF37" s="177">
        <f>IF(CF35&lt;&gt;"",CF35-CF36,"")</f>
        <v>5</v>
      </c>
      <c r="CG37" s="177">
        <f>IF(CG35&lt;&gt;"",CG35-CG36,"")</f>
        <v>5</v>
      </c>
      <c r="CH37" s="177">
        <f>IF(CH35&lt;&gt;"",CH35-CH36,"")</f>
        <v>5</v>
      </c>
      <c r="CI37" s="177"/>
      <c r="CJ37" s="178"/>
    </row>
    <row r="38" spans="3:88" ht="13.5" thickTop="1" x14ac:dyDescent="0.2">
      <c r="C38" s="165"/>
      <c r="D38" s="166"/>
      <c r="E38" s="166" t="s">
        <v>286</v>
      </c>
      <c r="F38" s="166" t="s">
        <v>97</v>
      </c>
      <c r="G38" s="166" t="s">
        <v>291</v>
      </c>
      <c r="H38" s="167"/>
      <c r="I38" s="170"/>
      <c r="J38" s="168">
        <v>3</v>
      </c>
      <c r="K38" s="168">
        <v>4</v>
      </c>
      <c r="L38" s="170"/>
      <c r="M38" s="170"/>
      <c r="N38" s="170"/>
      <c r="O38" s="170"/>
      <c r="P38" s="170"/>
      <c r="Q38" s="170"/>
      <c r="R38" s="170"/>
      <c r="S38" s="168">
        <v>5</v>
      </c>
      <c r="T38" s="170"/>
      <c r="U38" s="168">
        <v>2</v>
      </c>
      <c r="V38" s="170"/>
      <c r="W38" s="170"/>
      <c r="X38" s="170"/>
      <c r="Y38" s="170"/>
      <c r="Z38" s="170"/>
      <c r="AA38" s="170"/>
      <c r="AB38" s="170"/>
      <c r="AC38" s="170"/>
      <c r="AD38" s="170"/>
      <c r="AE38" s="170"/>
      <c r="AF38" s="169">
        <v>4</v>
      </c>
      <c r="AG38" s="169">
        <v>4</v>
      </c>
      <c r="AH38" s="168">
        <v>1</v>
      </c>
      <c r="AI38" s="170"/>
      <c r="AJ38" s="170"/>
      <c r="AK38" s="168">
        <v>3</v>
      </c>
      <c r="AL38" s="168">
        <v>2</v>
      </c>
      <c r="AM38" s="170"/>
      <c r="AN38" s="170"/>
      <c r="AO38" s="170"/>
      <c r="AP38" s="170"/>
      <c r="AQ38" s="170"/>
      <c r="AR38" s="168">
        <v>3</v>
      </c>
      <c r="AS38" s="170"/>
      <c r="AT38" s="169">
        <v>5</v>
      </c>
      <c r="AU38" s="169">
        <v>3</v>
      </c>
      <c r="AV38" s="170"/>
      <c r="AW38" s="170"/>
      <c r="AX38" s="169">
        <v>5</v>
      </c>
      <c r="AY38" s="169">
        <v>5</v>
      </c>
      <c r="AZ38" s="170"/>
      <c r="BA38" s="168">
        <v>2</v>
      </c>
      <c r="BB38" s="168">
        <v>4</v>
      </c>
      <c r="BC38" s="168">
        <v>3</v>
      </c>
      <c r="BD38" s="170"/>
      <c r="BE38" s="170"/>
      <c r="BF38" s="170"/>
      <c r="BG38" s="168">
        <v>4</v>
      </c>
      <c r="BH38" s="170"/>
      <c r="BI38" s="169">
        <v>5</v>
      </c>
      <c r="BJ38" s="170"/>
      <c r="BK38" s="170"/>
      <c r="BL38" s="170"/>
      <c r="BM38" s="170"/>
      <c r="BN38" s="170"/>
      <c r="BO38" s="170"/>
      <c r="BP38" s="170"/>
      <c r="BQ38" s="170"/>
      <c r="BR38" s="170"/>
      <c r="BS38" s="170"/>
      <c r="BT38" s="170"/>
      <c r="BU38" s="170"/>
      <c r="BV38" s="170"/>
      <c r="BW38" s="170"/>
      <c r="BX38" s="170"/>
      <c r="BY38" s="170"/>
      <c r="BZ38" s="170"/>
      <c r="CA38" s="170"/>
      <c r="CB38" s="169">
        <v>4</v>
      </c>
      <c r="CC38" s="169">
        <v>4</v>
      </c>
      <c r="CD38" s="168">
        <v>5</v>
      </c>
      <c r="CE38" s="169">
        <v>4</v>
      </c>
      <c r="CF38" s="168">
        <v>5</v>
      </c>
      <c r="CG38" s="168">
        <v>4</v>
      </c>
      <c r="CH38" s="169">
        <v>5</v>
      </c>
      <c r="CI38" s="167"/>
      <c r="CJ38" s="171"/>
    </row>
    <row r="39" spans="3:88" x14ac:dyDescent="0.2">
      <c r="C39" s="172"/>
      <c r="D39" s="173" t="s">
        <v>114</v>
      </c>
      <c r="E39" s="173" t="s">
        <v>286</v>
      </c>
      <c r="F39" s="173" t="s">
        <v>97</v>
      </c>
      <c r="G39" s="173" t="s">
        <v>277</v>
      </c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0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174"/>
    </row>
    <row r="40" spans="3:88" ht="13.5" thickBot="1" x14ac:dyDescent="0.25">
      <c r="C40" s="175"/>
      <c r="D40" s="176"/>
      <c r="E40" s="176" t="s">
        <v>286</v>
      </c>
      <c r="F40" s="176" t="s">
        <v>97</v>
      </c>
      <c r="G40" s="176" t="s">
        <v>292</v>
      </c>
      <c r="H40" s="177"/>
      <c r="I40" s="177" t="str">
        <f>IF(I38&lt;&gt;"",I38-I39,"")</f>
        <v/>
      </c>
      <c r="J40" s="177">
        <f>IF(J38&lt;&gt;"",J38-J39,"")</f>
        <v>3</v>
      </c>
      <c r="K40" s="177">
        <f>IF(K38&lt;&gt;"",K38-K39,"")</f>
        <v>4</v>
      </c>
      <c r="L40" s="177" t="str">
        <f>IF(L38&lt;&gt;"",L38-L39,"")</f>
        <v/>
      </c>
      <c r="M40" s="177" t="str">
        <f>IF(M38&lt;&gt;"",M38-M39,"")</f>
        <v/>
      </c>
      <c r="N40" s="177" t="str">
        <f>IF(N38&lt;&gt;"",N38-N39,"")</f>
        <v/>
      </c>
      <c r="O40" s="177" t="str">
        <f>IF(O38&lt;&gt;"",O38-O39,"")</f>
        <v/>
      </c>
      <c r="P40" s="177" t="str">
        <f>IF(P38&lt;&gt;"",P38-P39,"")</f>
        <v/>
      </c>
      <c r="Q40" s="177" t="str">
        <f>IF(Q38&lt;&gt;"",Q38-Q39,"")</f>
        <v/>
      </c>
      <c r="R40" s="177" t="str">
        <f>IF(R38&lt;&gt;"",R38-R39,"")</f>
        <v/>
      </c>
      <c r="S40" s="177">
        <f>IF(S38&lt;&gt;"",S38-S39,"")</f>
        <v>5</v>
      </c>
      <c r="T40" s="177" t="str">
        <f>IF(T38&lt;&gt;"",T38-T39,"")</f>
        <v/>
      </c>
      <c r="U40" s="177">
        <f>IF(U38&lt;&gt;"",U38-U39,"")</f>
        <v>2</v>
      </c>
      <c r="V40" s="177" t="str">
        <f>IF(V38&lt;&gt;"",V38-V39,"")</f>
        <v/>
      </c>
      <c r="W40" s="177" t="str">
        <f>IF(W38&lt;&gt;"",W38-W39,"")</f>
        <v/>
      </c>
      <c r="X40" s="177" t="str">
        <f>IF(X38&lt;&gt;"",X38-X39,"")</f>
        <v/>
      </c>
      <c r="Y40" s="177" t="str">
        <f>IF(Y38&lt;&gt;"",Y38-Y39,"")</f>
        <v/>
      </c>
      <c r="Z40" s="177" t="str">
        <f>IF(Z38&lt;&gt;"",Z38-Z39,"")</f>
        <v/>
      </c>
      <c r="AA40" s="177" t="str">
        <f>IF(AA38&lt;&gt;"",AA38-AA39,"")</f>
        <v/>
      </c>
      <c r="AB40" s="177" t="str">
        <f>IF(AB38&lt;&gt;"",AB38-AB39,"")</f>
        <v/>
      </c>
      <c r="AC40" s="177" t="str">
        <f>IF(AC38&lt;&gt;"",AC38-AC39,"")</f>
        <v/>
      </c>
      <c r="AD40" s="177" t="str">
        <f>IF(AD38&lt;&gt;"",AD38-AD39,"")</f>
        <v/>
      </c>
      <c r="AE40" s="177" t="str">
        <f>IF(AE38&lt;&gt;"",AE38-AE39,"")</f>
        <v/>
      </c>
      <c r="AF40" s="177">
        <f>IF(AF38&lt;&gt;"",AF38-AF39,"")</f>
        <v>4</v>
      </c>
      <c r="AG40" s="177">
        <f>IF(AG38&lt;&gt;"",AG38-AG39,"")</f>
        <v>4</v>
      </c>
      <c r="AH40" s="177">
        <f>IF(AH38&lt;&gt;"",AH38-AH39,"")</f>
        <v>1</v>
      </c>
      <c r="AI40" s="177" t="str">
        <f>IF(AI38&lt;&gt;"",AI38-AI39,"")</f>
        <v/>
      </c>
      <c r="AJ40" s="177" t="str">
        <f>IF(AJ38&lt;&gt;"",AJ38-AJ39,"")</f>
        <v/>
      </c>
      <c r="AK40" s="177">
        <f>IF(AK38&lt;&gt;"",AK38-AK39,"")</f>
        <v>3</v>
      </c>
      <c r="AL40" s="177">
        <f>IF(AL38&lt;&gt;"",AL38-AL39,"")</f>
        <v>2</v>
      </c>
      <c r="AM40" s="177" t="str">
        <f>IF(AM38&lt;&gt;"",AM38-AM39,"")</f>
        <v/>
      </c>
      <c r="AN40" s="177" t="str">
        <f>IF(AN38&lt;&gt;"",AN38-AN39,"")</f>
        <v/>
      </c>
      <c r="AO40" s="177" t="str">
        <f>IF(AO38&lt;&gt;"",AO38-AO39,"")</f>
        <v/>
      </c>
      <c r="AP40" s="177" t="str">
        <f>IF(AP38&lt;&gt;"",AP38-AP39,"")</f>
        <v/>
      </c>
      <c r="AQ40" s="177" t="str">
        <f>IF(AQ38&lt;&gt;"",AQ38-AQ39,"")</f>
        <v/>
      </c>
      <c r="AR40" s="177">
        <f>IF(AR38&lt;&gt;"",AR38-AR39,"")</f>
        <v>3</v>
      </c>
      <c r="AS40" s="177" t="str">
        <f>IF(AS38&lt;&gt;"",AS38-AS39,"")</f>
        <v/>
      </c>
      <c r="AT40" s="177">
        <f>IF(AT38&lt;&gt;"",AT38-AT39,"")</f>
        <v>5</v>
      </c>
      <c r="AU40" s="177">
        <f>IF(AU38&lt;&gt;"",AU38-AU39,"")</f>
        <v>3</v>
      </c>
      <c r="AV40" s="177" t="str">
        <f>IF(AV38&lt;&gt;"",AV38-AV39,"")</f>
        <v/>
      </c>
      <c r="AW40" s="177" t="str">
        <f>IF(AW38&lt;&gt;"",AW38-AW39,"")</f>
        <v/>
      </c>
      <c r="AX40" s="177">
        <f>IF(AX38&lt;&gt;"",AX38-AX39,"")</f>
        <v>5</v>
      </c>
      <c r="AY40" s="177">
        <f>IF(AY38&lt;&gt;"",AY38-AY39,"")</f>
        <v>5</v>
      </c>
      <c r="AZ40" s="177" t="str">
        <f>IF(AZ38&lt;&gt;"",AZ38-AZ39,"")</f>
        <v/>
      </c>
      <c r="BA40" s="177">
        <f>IF(BA38&lt;&gt;"",BA38-BA39,"")</f>
        <v>2</v>
      </c>
      <c r="BB40" s="177">
        <f>IF(BB38&lt;&gt;"",BB38-BB39,"")</f>
        <v>4</v>
      </c>
      <c r="BC40" s="177">
        <f>IF(BC38&lt;&gt;"",BC38-BC39,"")</f>
        <v>3</v>
      </c>
      <c r="BD40" s="177" t="str">
        <f>IF(BD38&lt;&gt;"",BD38-BD39,"")</f>
        <v/>
      </c>
      <c r="BE40" s="177" t="str">
        <f>IF(BE38&lt;&gt;"",BE38-BE39,"")</f>
        <v/>
      </c>
      <c r="BF40" s="177" t="str">
        <f>IF(BF38&lt;&gt;"",BF38-BF39,"")</f>
        <v/>
      </c>
      <c r="BG40" s="177">
        <f>IF(BG38&lt;&gt;"",BG38-BG39,"")</f>
        <v>4</v>
      </c>
      <c r="BH40" s="177" t="str">
        <f>IF(BH38&lt;&gt;"",BH38-BH39,"")</f>
        <v/>
      </c>
      <c r="BI40" s="177">
        <f>IF(BI38&lt;&gt;"",BI38-BI39,"")</f>
        <v>5</v>
      </c>
      <c r="BJ40" s="177" t="str">
        <f>IF(BJ38&lt;&gt;"",BJ38-BJ39,"")</f>
        <v/>
      </c>
      <c r="BK40" s="177" t="str">
        <f>IF(BK38&lt;&gt;"",BK38-BK39,"")</f>
        <v/>
      </c>
      <c r="BL40" s="177" t="str">
        <f>IF(BL38&lt;&gt;"",BL38-BL39,"")</f>
        <v/>
      </c>
      <c r="BM40" s="177" t="str">
        <f>IF(BM38&lt;&gt;"",BM38-BM39,"")</f>
        <v/>
      </c>
      <c r="BN40" s="177" t="str">
        <f>IF(BN38&lt;&gt;"",BN38-BN39,"")</f>
        <v/>
      </c>
      <c r="BO40" s="177" t="str">
        <f>IF(BO38&lt;&gt;"",BO38-BO39,"")</f>
        <v/>
      </c>
      <c r="BP40" s="177" t="str">
        <f>IF(BP38&lt;&gt;"",BP38-BP39,"")</f>
        <v/>
      </c>
      <c r="BQ40" s="177" t="str">
        <f>IF(BQ38&lt;&gt;"",BQ38-BQ39,"")</f>
        <v/>
      </c>
      <c r="BR40" s="177" t="str">
        <f>IF(BR38&lt;&gt;"",BR38-BR39,"")</f>
        <v/>
      </c>
      <c r="BS40" s="177" t="str">
        <f>IF(BS38&lt;&gt;"",BS38-BS39,"")</f>
        <v/>
      </c>
      <c r="BT40" s="177" t="str">
        <f>IF(BT38&lt;&gt;"",BT38-BT39,"")</f>
        <v/>
      </c>
      <c r="BU40" s="177" t="str">
        <f>IF(BU38&lt;&gt;"",BU38-BU39,"")</f>
        <v/>
      </c>
      <c r="BV40" s="177" t="str">
        <f>IF(BV38&lt;&gt;"",BV38-BV39,"")</f>
        <v/>
      </c>
      <c r="BW40" s="177" t="str">
        <f>IF(BW38&lt;&gt;"",BW38-BW39,"")</f>
        <v/>
      </c>
      <c r="BX40" s="177" t="str">
        <f>IF(BX38&lt;&gt;"",BX38-BX39,"")</f>
        <v/>
      </c>
      <c r="BY40" s="177" t="str">
        <f>IF(BY38&lt;&gt;"",BY38-BY39,"")</f>
        <v/>
      </c>
      <c r="BZ40" s="177" t="str">
        <f>IF(BZ38&lt;&gt;"",BZ38-BZ39,"")</f>
        <v/>
      </c>
      <c r="CA40" s="177" t="str">
        <f>IF(CA38&lt;&gt;"",CA38-CA39,"")</f>
        <v/>
      </c>
      <c r="CB40" s="177">
        <f>IF(CB38&lt;&gt;"",CB38-CB39,"")</f>
        <v>4</v>
      </c>
      <c r="CC40" s="177">
        <f>IF(CC38&lt;&gt;"",CC38-CC39,"")</f>
        <v>4</v>
      </c>
      <c r="CD40" s="177">
        <f>IF(CD38&lt;&gt;"",CD38-CD39,"")</f>
        <v>5</v>
      </c>
      <c r="CE40" s="177">
        <f>IF(CE38&lt;&gt;"",CE38-CE39,"")</f>
        <v>4</v>
      </c>
      <c r="CF40" s="177">
        <f>IF(CF38&lt;&gt;"",CF38-CF39,"")</f>
        <v>5</v>
      </c>
      <c r="CG40" s="177">
        <f>IF(CG38&lt;&gt;"",CG38-CG39,"")</f>
        <v>4</v>
      </c>
      <c r="CH40" s="177">
        <f>IF(CH38&lt;&gt;"",CH38-CH39,"")</f>
        <v>5</v>
      </c>
      <c r="CI40" s="177"/>
      <c r="CJ40" s="178"/>
    </row>
    <row r="41" spans="3:88" ht="13.5" thickTop="1" x14ac:dyDescent="0.2">
      <c r="C41" s="165"/>
      <c r="D41" s="166"/>
      <c r="E41" s="166" t="s">
        <v>287</v>
      </c>
      <c r="F41" s="166" t="s">
        <v>97</v>
      </c>
      <c r="G41" s="166" t="s">
        <v>291</v>
      </c>
      <c r="H41" s="167"/>
      <c r="I41" s="170"/>
      <c r="J41" s="168">
        <v>3</v>
      </c>
      <c r="K41" s="168">
        <v>4</v>
      </c>
      <c r="L41" s="170"/>
      <c r="M41" s="170"/>
      <c r="N41" s="170"/>
      <c r="O41" s="170"/>
      <c r="P41" s="170"/>
      <c r="Q41" s="170"/>
      <c r="R41" s="170"/>
      <c r="S41" s="168">
        <v>5</v>
      </c>
      <c r="T41" s="170"/>
      <c r="U41" s="168">
        <v>2</v>
      </c>
      <c r="V41" s="170"/>
      <c r="W41" s="170"/>
      <c r="X41" s="170"/>
      <c r="Y41" s="170"/>
      <c r="Z41" s="170"/>
      <c r="AA41" s="170"/>
      <c r="AB41" s="170"/>
      <c r="AC41" s="170"/>
      <c r="AD41" s="170"/>
      <c r="AE41" s="170"/>
      <c r="AF41" s="169">
        <v>4</v>
      </c>
      <c r="AG41" s="169">
        <v>4</v>
      </c>
      <c r="AH41" s="168">
        <v>1</v>
      </c>
      <c r="AI41" s="170"/>
      <c r="AJ41" s="170"/>
      <c r="AK41" s="168">
        <v>3</v>
      </c>
      <c r="AL41" s="168">
        <v>2</v>
      </c>
      <c r="AM41" s="170"/>
      <c r="AN41" s="170"/>
      <c r="AO41" s="170"/>
      <c r="AP41" s="170"/>
      <c r="AQ41" s="170"/>
      <c r="AR41" s="168">
        <v>3</v>
      </c>
      <c r="AS41" s="170"/>
      <c r="AT41" s="169">
        <v>5</v>
      </c>
      <c r="AU41" s="169">
        <v>3</v>
      </c>
      <c r="AV41" s="170"/>
      <c r="AW41" s="170"/>
      <c r="AX41" s="169">
        <v>5</v>
      </c>
      <c r="AY41" s="169">
        <v>5</v>
      </c>
      <c r="AZ41" s="170"/>
      <c r="BA41" s="168">
        <v>2</v>
      </c>
      <c r="BB41" s="168">
        <v>4</v>
      </c>
      <c r="BC41" s="168">
        <v>3</v>
      </c>
      <c r="BD41" s="170"/>
      <c r="BE41" s="170"/>
      <c r="BF41" s="170"/>
      <c r="BG41" s="168">
        <v>4</v>
      </c>
      <c r="BH41" s="170"/>
      <c r="BI41" s="169">
        <v>5</v>
      </c>
      <c r="BJ41" s="170"/>
      <c r="BK41" s="170"/>
      <c r="BL41" s="170"/>
      <c r="BM41" s="170"/>
      <c r="BN41" s="170"/>
      <c r="BO41" s="170"/>
      <c r="BP41" s="170"/>
      <c r="BQ41" s="170"/>
      <c r="BR41" s="170"/>
      <c r="BS41" s="170"/>
      <c r="BT41" s="170"/>
      <c r="BU41" s="170"/>
      <c r="BV41" s="170"/>
      <c r="BW41" s="170"/>
      <c r="BX41" s="170"/>
      <c r="BY41" s="170"/>
      <c r="BZ41" s="170"/>
      <c r="CA41" s="170"/>
      <c r="CB41" s="169">
        <v>4</v>
      </c>
      <c r="CC41" s="169">
        <v>4</v>
      </c>
      <c r="CD41" s="168">
        <v>5</v>
      </c>
      <c r="CE41" s="169">
        <v>4</v>
      </c>
      <c r="CF41" s="168">
        <v>5</v>
      </c>
      <c r="CG41" s="168">
        <v>4</v>
      </c>
      <c r="CH41" s="169">
        <v>5</v>
      </c>
      <c r="CI41" s="167"/>
      <c r="CJ41" s="171"/>
    </row>
    <row r="42" spans="3:88" x14ac:dyDescent="0.2">
      <c r="C42" s="172"/>
      <c r="D42" s="173" t="s">
        <v>114</v>
      </c>
      <c r="E42" s="173" t="s">
        <v>287</v>
      </c>
      <c r="F42" s="173" t="s">
        <v>97</v>
      </c>
      <c r="G42" s="173" t="s">
        <v>277</v>
      </c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174"/>
    </row>
    <row r="43" spans="3:88" ht="13.5" thickBot="1" x14ac:dyDescent="0.25">
      <c r="C43" s="175"/>
      <c r="D43" s="176"/>
      <c r="E43" s="176" t="s">
        <v>287</v>
      </c>
      <c r="F43" s="176" t="s">
        <v>97</v>
      </c>
      <c r="G43" s="176" t="s">
        <v>292</v>
      </c>
      <c r="H43" s="177"/>
      <c r="I43" s="177" t="str">
        <f>IF(I41&lt;&gt;"",I41-I42,"")</f>
        <v/>
      </c>
      <c r="J43" s="177">
        <f>IF(J41&lt;&gt;"",J41-J42,"")</f>
        <v>3</v>
      </c>
      <c r="K43" s="177">
        <f>IF(K41&lt;&gt;"",K41-K42,"")</f>
        <v>4</v>
      </c>
      <c r="L43" s="177" t="str">
        <f>IF(L41&lt;&gt;"",L41-L42,"")</f>
        <v/>
      </c>
      <c r="M43" s="177" t="str">
        <f>IF(M41&lt;&gt;"",M41-M42,"")</f>
        <v/>
      </c>
      <c r="N43" s="177" t="str">
        <f>IF(N41&lt;&gt;"",N41-N42,"")</f>
        <v/>
      </c>
      <c r="O43" s="177" t="str">
        <f>IF(O41&lt;&gt;"",O41-O42,"")</f>
        <v/>
      </c>
      <c r="P43" s="177" t="str">
        <f>IF(P41&lt;&gt;"",P41-P42,"")</f>
        <v/>
      </c>
      <c r="Q43" s="177" t="str">
        <f>IF(Q41&lt;&gt;"",Q41-Q42,"")</f>
        <v/>
      </c>
      <c r="R43" s="177" t="str">
        <f>IF(R41&lt;&gt;"",R41-R42,"")</f>
        <v/>
      </c>
      <c r="S43" s="177">
        <f>IF(S41&lt;&gt;"",S41-S42,"")</f>
        <v>5</v>
      </c>
      <c r="T43" s="177" t="str">
        <f>IF(T41&lt;&gt;"",T41-T42,"")</f>
        <v/>
      </c>
      <c r="U43" s="177">
        <f>IF(U41&lt;&gt;"",U41-U42,"")</f>
        <v>2</v>
      </c>
      <c r="V43" s="177" t="str">
        <f>IF(V41&lt;&gt;"",V41-V42,"")</f>
        <v/>
      </c>
      <c r="W43" s="177" t="str">
        <f>IF(W41&lt;&gt;"",W41-W42,"")</f>
        <v/>
      </c>
      <c r="X43" s="177" t="str">
        <f>IF(X41&lt;&gt;"",X41-X42,"")</f>
        <v/>
      </c>
      <c r="Y43" s="177" t="str">
        <f>IF(Y41&lt;&gt;"",Y41-Y42,"")</f>
        <v/>
      </c>
      <c r="Z43" s="177" t="str">
        <f>IF(Z41&lt;&gt;"",Z41-Z42,"")</f>
        <v/>
      </c>
      <c r="AA43" s="177" t="str">
        <f>IF(AA41&lt;&gt;"",AA41-AA42,"")</f>
        <v/>
      </c>
      <c r="AB43" s="177" t="str">
        <f>IF(AB41&lt;&gt;"",AB41-AB42,"")</f>
        <v/>
      </c>
      <c r="AC43" s="177" t="str">
        <f>IF(AC41&lt;&gt;"",AC41-AC42,"")</f>
        <v/>
      </c>
      <c r="AD43" s="177" t="str">
        <f>IF(AD41&lt;&gt;"",AD41-AD42,"")</f>
        <v/>
      </c>
      <c r="AE43" s="177" t="str">
        <f>IF(AE41&lt;&gt;"",AE41-AE42,"")</f>
        <v/>
      </c>
      <c r="AF43" s="177">
        <f>IF(AF41&lt;&gt;"",AF41-AF42,"")</f>
        <v>4</v>
      </c>
      <c r="AG43" s="177">
        <f>IF(AG41&lt;&gt;"",AG41-AG42,"")</f>
        <v>4</v>
      </c>
      <c r="AH43" s="177">
        <f>IF(AH41&lt;&gt;"",AH41-AH42,"")</f>
        <v>1</v>
      </c>
      <c r="AI43" s="177" t="str">
        <f>IF(AI41&lt;&gt;"",AI41-AI42,"")</f>
        <v/>
      </c>
      <c r="AJ43" s="177" t="str">
        <f>IF(AJ41&lt;&gt;"",AJ41-AJ42,"")</f>
        <v/>
      </c>
      <c r="AK43" s="177">
        <f>IF(AK41&lt;&gt;"",AK41-AK42,"")</f>
        <v>3</v>
      </c>
      <c r="AL43" s="177">
        <f>IF(AL41&lt;&gt;"",AL41-AL42,"")</f>
        <v>2</v>
      </c>
      <c r="AM43" s="177" t="str">
        <f>IF(AM41&lt;&gt;"",AM41-AM42,"")</f>
        <v/>
      </c>
      <c r="AN43" s="177" t="str">
        <f>IF(AN41&lt;&gt;"",AN41-AN42,"")</f>
        <v/>
      </c>
      <c r="AO43" s="177" t="str">
        <f>IF(AO41&lt;&gt;"",AO41-AO42,"")</f>
        <v/>
      </c>
      <c r="AP43" s="177" t="str">
        <f>IF(AP41&lt;&gt;"",AP41-AP42,"")</f>
        <v/>
      </c>
      <c r="AQ43" s="177" t="str">
        <f>IF(AQ41&lt;&gt;"",AQ41-AQ42,"")</f>
        <v/>
      </c>
      <c r="AR43" s="177">
        <f>IF(AR41&lt;&gt;"",AR41-AR42,"")</f>
        <v>3</v>
      </c>
      <c r="AS43" s="177" t="str">
        <f>IF(AS41&lt;&gt;"",AS41-AS42,"")</f>
        <v/>
      </c>
      <c r="AT43" s="177">
        <f>IF(AT41&lt;&gt;"",AT41-AT42,"")</f>
        <v>5</v>
      </c>
      <c r="AU43" s="177">
        <f>IF(AU41&lt;&gt;"",AU41-AU42,"")</f>
        <v>3</v>
      </c>
      <c r="AV43" s="177" t="str">
        <f>IF(AV41&lt;&gt;"",AV41-AV42,"")</f>
        <v/>
      </c>
      <c r="AW43" s="177" t="str">
        <f>IF(AW41&lt;&gt;"",AW41-AW42,"")</f>
        <v/>
      </c>
      <c r="AX43" s="177">
        <f>IF(AX41&lt;&gt;"",AX41-AX42,"")</f>
        <v>5</v>
      </c>
      <c r="AY43" s="177">
        <f>IF(AY41&lt;&gt;"",AY41-AY42,"")</f>
        <v>5</v>
      </c>
      <c r="AZ43" s="177" t="str">
        <f>IF(AZ41&lt;&gt;"",AZ41-AZ42,"")</f>
        <v/>
      </c>
      <c r="BA43" s="177">
        <f>IF(BA41&lt;&gt;"",BA41-BA42,"")</f>
        <v>2</v>
      </c>
      <c r="BB43" s="177">
        <f>IF(BB41&lt;&gt;"",BB41-BB42,"")</f>
        <v>4</v>
      </c>
      <c r="BC43" s="177">
        <f>IF(BC41&lt;&gt;"",BC41-BC42,"")</f>
        <v>3</v>
      </c>
      <c r="BD43" s="177" t="str">
        <f>IF(BD41&lt;&gt;"",BD41-BD42,"")</f>
        <v/>
      </c>
      <c r="BE43" s="177" t="str">
        <f>IF(BE41&lt;&gt;"",BE41-BE42,"")</f>
        <v/>
      </c>
      <c r="BF43" s="177" t="str">
        <f>IF(BF41&lt;&gt;"",BF41-BF42,"")</f>
        <v/>
      </c>
      <c r="BG43" s="177">
        <f>IF(BG41&lt;&gt;"",BG41-BG42,"")</f>
        <v>4</v>
      </c>
      <c r="BH43" s="177" t="str">
        <f>IF(BH41&lt;&gt;"",BH41-BH42,"")</f>
        <v/>
      </c>
      <c r="BI43" s="177">
        <f>IF(BI41&lt;&gt;"",BI41-BI42,"")</f>
        <v>5</v>
      </c>
      <c r="BJ43" s="177" t="str">
        <f>IF(BJ41&lt;&gt;"",BJ41-BJ42,"")</f>
        <v/>
      </c>
      <c r="BK43" s="177" t="str">
        <f>IF(BK41&lt;&gt;"",BK41-BK42,"")</f>
        <v/>
      </c>
      <c r="BL43" s="177" t="str">
        <f>IF(BL41&lt;&gt;"",BL41-BL42,"")</f>
        <v/>
      </c>
      <c r="BM43" s="177" t="str">
        <f>IF(BM41&lt;&gt;"",BM41-BM42,"")</f>
        <v/>
      </c>
      <c r="BN43" s="177" t="str">
        <f>IF(BN41&lt;&gt;"",BN41-BN42,"")</f>
        <v/>
      </c>
      <c r="BO43" s="177" t="str">
        <f>IF(BO41&lt;&gt;"",BO41-BO42,"")</f>
        <v/>
      </c>
      <c r="BP43" s="177" t="str">
        <f>IF(BP41&lt;&gt;"",BP41-BP42,"")</f>
        <v/>
      </c>
      <c r="BQ43" s="177" t="str">
        <f>IF(BQ41&lt;&gt;"",BQ41-BQ42,"")</f>
        <v/>
      </c>
      <c r="BR43" s="177" t="str">
        <f>IF(BR41&lt;&gt;"",BR41-BR42,"")</f>
        <v/>
      </c>
      <c r="BS43" s="177" t="str">
        <f>IF(BS41&lt;&gt;"",BS41-BS42,"")</f>
        <v/>
      </c>
      <c r="BT43" s="177" t="str">
        <f>IF(BT41&lt;&gt;"",BT41-BT42,"")</f>
        <v/>
      </c>
      <c r="BU43" s="177" t="str">
        <f>IF(BU41&lt;&gt;"",BU41-BU42,"")</f>
        <v/>
      </c>
      <c r="BV43" s="177" t="str">
        <f>IF(BV41&lt;&gt;"",BV41-BV42,"")</f>
        <v/>
      </c>
      <c r="BW43" s="177" t="str">
        <f>IF(BW41&lt;&gt;"",BW41-BW42,"")</f>
        <v/>
      </c>
      <c r="BX43" s="177" t="str">
        <f>IF(BX41&lt;&gt;"",BX41-BX42,"")</f>
        <v/>
      </c>
      <c r="BY43" s="177" t="str">
        <f>IF(BY41&lt;&gt;"",BY41-BY42,"")</f>
        <v/>
      </c>
      <c r="BZ43" s="177" t="str">
        <f>IF(BZ41&lt;&gt;"",BZ41-BZ42,"")</f>
        <v/>
      </c>
      <c r="CA43" s="177" t="str">
        <f>IF(CA41&lt;&gt;"",CA41-CA42,"")</f>
        <v/>
      </c>
      <c r="CB43" s="177">
        <f>IF(CB41&lt;&gt;"",CB41-CB42,"")</f>
        <v>4</v>
      </c>
      <c r="CC43" s="177">
        <f>IF(CC41&lt;&gt;"",CC41-CC42,"")</f>
        <v>4</v>
      </c>
      <c r="CD43" s="177">
        <f>IF(CD41&lt;&gt;"",CD41-CD42,"")</f>
        <v>5</v>
      </c>
      <c r="CE43" s="177">
        <f>IF(CE41&lt;&gt;"",CE41-CE42,"")</f>
        <v>4</v>
      </c>
      <c r="CF43" s="177">
        <f>IF(CF41&lt;&gt;"",CF41-CF42,"")</f>
        <v>5</v>
      </c>
      <c r="CG43" s="177">
        <f>IF(CG41&lt;&gt;"",CG41-CG42,"")</f>
        <v>4</v>
      </c>
      <c r="CH43" s="177">
        <f>IF(CH41&lt;&gt;"",CH41-CH42,"")</f>
        <v>5</v>
      </c>
      <c r="CI43" s="177"/>
      <c r="CJ43" s="178"/>
    </row>
    <row r="44" spans="3:88" ht="13.5" thickTop="1" x14ac:dyDescent="0.2">
      <c r="C44" s="165"/>
      <c r="D44" s="166"/>
      <c r="E44" s="166" t="s">
        <v>288</v>
      </c>
      <c r="F44" s="166" t="s">
        <v>98</v>
      </c>
      <c r="G44" s="166" t="s">
        <v>291</v>
      </c>
      <c r="H44" s="167"/>
      <c r="I44" s="170"/>
      <c r="J44" s="168">
        <v>3</v>
      </c>
      <c r="K44" s="168">
        <v>4</v>
      </c>
      <c r="L44" s="170"/>
      <c r="M44" s="170"/>
      <c r="N44" s="170"/>
      <c r="O44" s="170"/>
      <c r="P44" s="170"/>
      <c r="Q44" s="170"/>
      <c r="R44" s="170"/>
      <c r="S44" s="168">
        <v>5</v>
      </c>
      <c r="T44" s="170"/>
      <c r="U44" s="168">
        <v>2</v>
      </c>
      <c r="V44" s="170"/>
      <c r="W44" s="170"/>
      <c r="X44" s="170"/>
      <c r="Y44" s="170"/>
      <c r="Z44" s="170"/>
      <c r="AA44" s="170"/>
      <c r="AB44" s="170"/>
      <c r="AC44" s="170"/>
      <c r="AD44" s="170"/>
      <c r="AE44" s="170"/>
      <c r="AF44" s="169">
        <v>4</v>
      </c>
      <c r="AG44" s="169">
        <v>4</v>
      </c>
      <c r="AH44" s="168">
        <v>1</v>
      </c>
      <c r="AI44" s="170"/>
      <c r="AJ44" s="170"/>
      <c r="AK44" s="168">
        <v>3</v>
      </c>
      <c r="AL44" s="168">
        <v>2</v>
      </c>
      <c r="AM44" s="170"/>
      <c r="AN44" s="170"/>
      <c r="AO44" s="170"/>
      <c r="AP44" s="170"/>
      <c r="AQ44" s="170"/>
      <c r="AR44" s="168">
        <v>3</v>
      </c>
      <c r="AS44" s="170"/>
      <c r="AT44" s="169">
        <v>5</v>
      </c>
      <c r="AU44" s="169">
        <v>3</v>
      </c>
      <c r="AV44" s="170"/>
      <c r="AW44" s="170"/>
      <c r="AX44" s="169">
        <v>5</v>
      </c>
      <c r="AY44" s="169">
        <v>5</v>
      </c>
      <c r="AZ44" s="170"/>
      <c r="BA44" s="168">
        <v>2</v>
      </c>
      <c r="BB44" s="168">
        <v>4</v>
      </c>
      <c r="BC44" s="168">
        <v>3</v>
      </c>
      <c r="BD44" s="170"/>
      <c r="BE44" s="170"/>
      <c r="BF44" s="170"/>
      <c r="BG44" s="168">
        <v>4</v>
      </c>
      <c r="BH44" s="170"/>
      <c r="BI44" s="169">
        <v>5</v>
      </c>
      <c r="BJ44" s="170"/>
      <c r="BK44" s="170"/>
      <c r="BL44" s="170"/>
      <c r="BM44" s="170"/>
      <c r="BN44" s="170"/>
      <c r="BO44" s="170"/>
      <c r="BP44" s="170"/>
      <c r="BQ44" s="170"/>
      <c r="BR44" s="170"/>
      <c r="BS44" s="170"/>
      <c r="BT44" s="170"/>
      <c r="BU44" s="170"/>
      <c r="BV44" s="170"/>
      <c r="BW44" s="170"/>
      <c r="BX44" s="170"/>
      <c r="BY44" s="170"/>
      <c r="BZ44" s="170"/>
      <c r="CA44" s="170"/>
      <c r="CB44" s="169">
        <v>5</v>
      </c>
      <c r="CC44" s="169">
        <v>6</v>
      </c>
      <c r="CD44" s="168">
        <v>5</v>
      </c>
      <c r="CE44" s="169">
        <v>5</v>
      </c>
      <c r="CF44" s="168">
        <v>5</v>
      </c>
      <c r="CG44" s="168">
        <v>5</v>
      </c>
      <c r="CH44" s="169">
        <v>5</v>
      </c>
      <c r="CI44" s="167"/>
      <c r="CJ44" s="171"/>
    </row>
    <row r="45" spans="3:88" x14ac:dyDescent="0.2">
      <c r="C45" s="172"/>
      <c r="D45" s="173" t="s">
        <v>114</v>
      </c>
      <c r="E45" s="173" t="s">
        <v>288</v>
      </c>
      <c r="F45" s="173" t="s">
        <v>98</v>
      </c>
      <c r="G45" s="173" t="s">
        <v>277</v>
      </c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174"/>
    </row>
    <row r="46" spans="3:88" ht="13.5" thickBot="1" x14ac:dyDescent="0.25">
      <c r="C46" s="175"/>
      <c r="D46" s="176"/>
      <c r="E46" s="176" t="s">
        <v>288</v>
      </c>
      <c r="F46" s="176" t="s">
        <v>98</v>
      </c>
      <c r="G46" s="176" t="s">
        <v>292</v>
      </c>
      <c r="H46" s="177"/>
      <c r="I46" s="177" t="str">
        <f>IF(I44&lt;&gt;"",I44-I45,"")</f>
        <v/>
      </c>
      <c r="J46" s="177">
        <f>IF(J44&lt;&gt;"",J44-J45,"")</f>
        <v>3</v>
      </c>
      <c r="K46" s="177">
        <f>IF(K44&lt;&gt;"",K44-K45,"")</f>
        <v>4</v>
      </c>
      <c r="L46" s="177" t="str">
        <f>IF(L44&lt;&gt;"",L44-L45,"")</f>
        <v/>
      </c>
      <c r="M46" s="177" t="str">
        <f>IF(M44&lt;&gt;"",M44-M45,"")</f>
        <v/>
      </c>
      <c r="N46" s="177" t="str">
        <f>IF(N44&lt;&gt;"",N44-N45,"")</f>
        <v/>
      </c>
      <c r="O46" s="177" t="str">
        <f>IF(O44&lt;&gt;"",O44-O45,"")</f>
        <v/>
      </c>
      <c r="P46" s="177" t="str">
        <f>IF(P44&lt;&gt;"",P44-P45,"")</f>
        <v/>
      </c>
      <c r="Q46" s="177" t="str">
        <f>IF(Q44&lt;&gt;"",Q44-Q45,"")</f>
        <v/>
      </c>
      <c r="R46" s="177" t="str">
        <f>IF(R44&lt;&gt;"",R44-R45,"")</f>
        <v/>
      </c>
      <c r="S46" s="177">
        <f>IF(S44&lt;&gt;"",S44-S45,"")</f>
        <v>5</v>
      </c>
      <c r="T46" s="177" t="str">
        <f>IF(T44&lt;&gt;"",T44-T45,"")</f>
        <v/>
      </c>
      <c r="U46" s="177">
        <f>IF(U44&lt;&gt;"",U44-U45,"")</f>
        <v>2</v>
      </c>
      <c r="V46" s="177" t="str">
        <f>IF(V44&lt;&gt;"",V44-V45,"")</f>
        <v/>
      </c>
      <c r="W46" s="177" t="str">
        <f>IF(W44&lt;&gt;"",W44-W45,"")</f>
        <v/>
      </c>
      <c r="X46" s="177" t="str">
        <f>IF(X44&lt;&gt;"",X44-X45,"")</f>
        <v/>
      </c>
      <c r="Y46" s="177" t="str">
        <f>IF(Y44&lt;&gt;"",Y44-Y45,"")</f>
        <v/>
      </c>
      <c r="Z46" s="177" t="str">
        <f>IF(Z44&lt;&gt;"",Z44-Z45,"")</f>
        <v/>
      </c>
      <c r="AA46" s="177" t="str">
        <f>IF(AA44&lt;&gt;"",AA44-AA45,"")</f>
        <v/>
      </c>
      <c r="AB46" s="177" t="str">
        <f>IF(AB44&lt;&gt;"",AB44-AB45,"")</f>
        <v/>
      </c>
      <c r="AC46" s="177" t="str">
        <f>IF(AC44&lt;&gt;"",AC44-AC45,"")</f>
        <v/>
      </c>
      <c r="AD46" s="177" t="str">
        <f>IF(AD44&lt;&gt;"",AD44-AD45,"")</f>
        <v/>
      </c>
      <c r="AE46" s="177" t="str">
        <f>IF(AE44&lt;&gt;"",AE44-AE45,"")</f>
        <v/>
      </c>
      <c r="AF46" s="177">
        <f>IF(AF44&lt;&gt;"",AF44-AF45,"")</f>
        <v>4</v>
      </c>
      <c r="AG46" s="177">
        <f>IF(AG44&lt;&gt;"",AG44-AG45,"")</f>
        <v>4</v>
      </c>
      <c r="AH46" s="177">
        <f>IF(AH44&lt;&gt;"",AH44-AH45,"")</f>
        <v>1</v>
      </c>
      <c r="AI46" s="177" t="str">
        <f>IF(AI44&lt;&gt;"",AI44-AI45,"")</f>
        <v/>
      </c>
      <c r="AJ46" s="177" t="str">
        <f>IF(AJ44&lt;&gt;"",AJ44-AJ45,"")</f>
        <v/>
      </c>
      <c r="AK46" s="177">
        <f>IF(AK44&lt;&gt;"",AK44-AK45,"")</f>
        <v>3</v>
      </c>
      <c r="AL46" s="177">
        <f>IF(AL44&lt;&gt;"",AL44-AL45,"")</f>
        <v>2</v>
      </c>
      <c r="AM46" s="177" t="str">
        <f>IF(AM44&lt;&gt;"",AM44-AM45,"")</f>
        <v/>
      </c>
      <c r="AN46" s="177" t="str">
        <f>IF(AN44&lt;&gt;"",AN44-AN45,"")</f>
        <v/>
      </c>
      <c r="AO46" s="177" t="str">
        <f>IF(AO44&lt;&gt;"",AO44-AO45,"")</f>
        <v/>
      </c>
      <c r="AP46" s="177" t="str">
        <f>IF(AP44&lt;&gt;"",AP44-AP45,"")</f>
        <v/>
      </c>
      <c r="AQ46" s="177" t="str">
        <f>IF(AQ44&lt;&gt;"",AQ44-AQ45,"")</f>
        <v/>
      </c>
      <c r="AR46" s="177">
        <f>IF(AR44&lt;&gt;"",AR44-AR45,"")</f>
        <v>3</v>
      </c>
      <c r="AS46" s="177" t="str">
        <f>IF(AS44&lt;&gt;"",AS44-AS45,"")</f>
        <v/>
      </c>
      <c r="AT46" s="177">
        <f>IF(AT44&lt;&gt;"",AT44-AT45,"")</f>
        <v>5</v>
      </c>
      <c r="AU46" s="177">
        <f>IF(AU44&lt;&gt;"",AU44-AU45,"")</f>
        <v>3</v>
      </c>
      <c r="AV46" s="177" t="str">
        <f>IF(AV44&lt;&gt;"",AV44-AV45,"")</f>
        <v/>
      </c>
      <c r="AW46" s="177" t="str">
        <f>IF(AW44&lt;&gt;"",AW44-AW45,"")</f>
        <v/>
      </c>
      <c r="AX46" s="177">
        <f>IF(AX44&lt;&gt;"",AX44-AX45,"")</f>
        <v>5</v>
      </c>
      <c r="AY46" s="177">
        <f>IF(AY44&lt;&gt;"",AY44-AY45,"")</f>
        <v>5</v>
      </c>
      <c r="AZ46" s="177" t="str">
        <f>IF(AZ44&lt;&gt;"",AZ44-AZ45,"")</f>
        <v/>
      </c>
      <c r="BA46" s="177">
        <f>IF(BA44&lt;&gt;"",BA44-BA45,"")</f>
        <v>2</v>
      </c>
      <c r="BB46" s="177">
        <f>IF(BB44&lt;&gt;"",BB44-BB45,"")</f>
        <v>4</v>
      </c>
      <c r="BC46" s="177">
        <f>IF(BC44&lt;&gt;"",BC44-BC45,"")</f>
        <v>3</v>
      </c>
      <c r="BD46" s="177" t="str">
        <f>IF(BD44&lt;&gt;"",BD44-BD45,"")</f>
        <v/>
      </c>
      <c r="BE46" s="177" t="str">
        <f>IF(BE44&lt;&gt;"",BE44-BE45,"")</f>
        <v/>
      </c>
      <c r="BF46" s="177" t="str">
        <f>IF(BF44&lt;&gt;"",BF44-BF45,"")</f>
        <v/>
      </c>
      <c r="BG46" s="177">
        <f>IF(BG44&lt;&gt;"",BG44-BG45,"")</f>
        <v>4</v>
      </c>
      <c r="BH46" s="177" t="str">
        <f>IF(BH44&lt;&gt;"",BH44-BH45,"")</f>
        <v/>
      </c>
      <c r="BI46" s="177">
        <f>IF(BI44&lt;&gt;"",BI44-BI45,"")</f>
        <v>5</v>
      </c>
      <c r="BJ46" s="177" t="str">
        <f>IF(BJ44&lt;&gt;"",BJ44-BJ45,"")</f>
        <v/>
      </c>
      <c r="BK46" s="177" t="str">
        <f>IF(BK44&lt;&gt;"",BK44-BK45,"")</f>
        <v/>
      </c>
      <c r="BL46" s="177" t="str">
        <f>IF(BL44&lt;&gt;"",BL44-BL45,"")</f>
        <v/>
      </c>
      <c r="BM46" s="177" t="str">
        <f>IF(BM44&lt;&gt;"",BM44-BM45,"")</f>
        <v/>
      </c>
      <c r="BN46" s="177" t="str">
        <f>IF(BN44&lt;&gt;"",BN44-BN45,"")</f>
        <v/>
      </c>
      <c r="BO46" s="177" t="str">
        <f>IF(BO44&lt;&gt;"",BO44-BO45,"")</f>
        <v/>
      </c>
      <c r="BP46" s="177" t="str">
        <f>IF(BP44&lt;&gt;"",BP44-BP45,"")</f>
        <v/>
      </c>
      <c r="BQ46" s="177" t="str">
        <f>IF(BQ44&lt;&gt;"",BQ44-BQ45,"")</f>
        <v/>
      </c>
      <c r="BR46" s="177" t="str">
        <f>IF(BR44&lt;&gt;"",BR44-BR45,"")</f>
        <v/>
      </c>
      <c r="BS46" s="177" t="str">
        <f>IF(BS44&lt;&gt;"",BS44-BS45,"")</f>
        <v/>
      </c>
      <c r="BT46" s="177" t="str">
        <f>IF(BT44&lt;&gt;"",BT44-BT45,"")</f>
        <v/>
      </c>
      <c r="BU46" s="177" t="str">
        <f>IF(BU44&lt;&gt;"",BU44-BU45,"")</f>
        <v/>
      </c>
      <c r="BV46" s="177" t="str">
        <f>IF(BV44&lt;&gt;"",BV44-BV45,"")</f>
        <v/>
      </c>
      <c r="BW46" s="177" t="str">
        <f>IF(BW44&lt;&gt;"",BW44-BW45,"")</f>
        <v/>
      </c>
      <c r="BX46" s="177" t="str">
        <f>IF(BX44&lt;&gt;"",BX44-BX45,"")</f>
        <v/>
      </c>
      <c r="BY46" s="177" t="str">
        <f>IF(BY44&lt;&gt;"",BY44-BY45,"")</f>
        <v/>
      </c>
      <c r="BZ46" s="177" t="str">
        <f>IF(BZ44&lt;&gt;"",BZ44-BZ45,"")</f>
        <v/>
      </c>
      <c r="CA46" s="177" t="str">
        <f>IF(CA44&lt;&gt;"",CA44-CA45,"")</f>
        <v/>
      </c>
      <c r="CB46" s="177">
        <f>IF(CB44&lt;&gt;"",CB44-CB45,"")</f>
        <v>5</v>
      </c>
      <c r="CC46" s="177">
        <f>IF(CC44&lt;&gt;"",CC44-CC45,"")</f>
        <v>6</v>
      </c>
      <c r="CD46" s="177">
        <f>IF(CD44&lt;&gt;"",CD44-CD45,"")</f>
        <v>5</v>
      </c>
      <c r="CE46" s="177">
        <f>IF(CE44&lt;&gt;"",CE44-CE45,"")</f>
        <v>5</v>
      </c>
      <c r="CF46" s="177">
        <f>IF(CF44&lt;&gt;"",CF44-CF45,"")</f>
        <v>5</v>
      </c>
      <c r="CG46" s="177">
        <f>IF(CG44&lt;&gt;"",CG44-CG45,"")</f>
        <v>5</v>
      </c>
      <c r="CH46" s="177">
        <f>IF(CH44&lt;&gt;"",CH44-CH45,"")</f>
        <v>5</v>
      </c>
      <c r="CI46" s="177"/>
      <c r="CJ46" s="178"/>
    </row>
    <row r="47" spans="3:88" ht="13.5" thickTop="1" x14ac:dyDescent="0.2">
      <c r="C47" s="165"/>
      <c r="D47" s="166"/>
      <c r="E47" s="166" t="s">
        <v>289</v>
      </c>
      <c r="F47" s="166" t="s">
        <v>96</v>
      </c>
      <c r="G47" s="166" t="s">
        <v>291</v>
      </c>
      <c r="H47" s="167"/>
      <c r="I47" s="168">
        <v>5</v>
      </c>
      <c r="J47" s="169">
        <v>5</v>
      </c>
      <c r="K47" s="169">
        <v>5</v>
      </c>
      <c r="L47" s="169">
        <v>5</v>
      </c>
      <c r="M47" s="168">
        <v>5</v>
      </c>
      <c r="N47" s="168">
        <v>5</v>
      </c>
      <c r="O47" s="168">
        <v>5</v>
      </c>
      <c r="P47" s="168">
        <v>3</v>
      </c>
      <c r="Q47" s="168">
        <v>5</v>
      </c>
      <c r="R47" s="168">
        <v>5</v>
      </c>
      <c r="S47" s="168">
        <v>5</v>
      </c>
      <c r="T47" s="169">
        <v>5</v>
      </c>
      <c r="U47" s="168">
        <v>4</v>
      </c>
      <c r="V47" s="169">
        <v>4</v>
      </c>
      <c r="W47" s="170"/>
      <c r="X47" s="169">
        <v>4</v>
      </c>
      <c r="Y47" s="170"/>
      <c r="Z47" s="170"/>
      <c r="AA47" s="168">
        <v>5</v>
      </c>
      <c r="AB47" s="170"/>
      <c r="AC47" s="169">
        <v>3</v>
      </c>
      <c r="AD47" s="169">
        <v>5</v>
      </c>
      <c r="AE47" s="168">
        <v>5</v>
      </c>
      <c r="AF47" s="169">
        <v>5</v>
      </c>
      <c r="AG47" s="169">
        <v>5</v>
      </c>
      <c r="AH47" s="168">
        <v>4</v>
      </c>
      <c r="AI47" s="168">
        <v>3</v>
      </c>
      <c r="AJ47" s="168">
        <v>3</v>
      </c>
      <c r="AK47" s="170"/>
      <c r="AL47" s="168">
        <v>2</v>
      </c>
      <c r="AM47" s="169">
        <v>4</v>
      </c>
      <c r="AN47" s="168">
        <v>4</v>
      </c>
      <c r="AO47" s="168">
        <v>4</v>
      </c>
      <c r="AP47" s="170"/>
      <c r="AQ47" s="170"/>
      <c r="AR47" s="168">
        <v>5</v>
      </c>
      <c r="AS47" s="168">
        <v>4</v>
      </c>
      <c r="AT47" s="170"/>
      <c r="AU47" s="168">
        <v>4</v>
      </c>
      <c r="AV47" s="168">
        <v>4</v>
      </c>
      <c r="AW47" s="168">
        <v>4</v>
      </c>
      <c r="AX47" s="170"/>
      <c r="AY47" s="170"/>
      <c r="AZ47" s="168">
        <v>4</v>
      </c>
      <c r="BA47" s="168">
        <v>5</v>
      </c>
      <c r="BB47" s="170"/>
      <c r="BC47" s="168">
        <v>6</v>
      </c>
      <c r="BD47" s="169">
        <v>5</v>
      </c>
      <c r="BE47" s="169">
        <v>5</v>
      </c>
      <c r="BF47" s="169">
        <v>5</v>
      </c>
      <c r="BG47" s="168">
        <v>4</v>
      </c>
      <c r="BH47" s="170"/>
      <c r="BI47" s="170"/>
      <c r="BJ47" s="170"/>
      <c r="BK47" s="170"/>
      <c r="BL47" s="168">
        <v>4</v>
      </c>
      <c r="BM47" s="170"/>
      <c r="BN47" s="170"/>
      <c r="BO47" s="168">
        <v>4</v>
      </c>
      <c r="BP47" s="170"/>
      <c r="BQ47" s="169">
        <v>5</v>
      </c>
      <c r="BR47" s="170"/>
      <c r="BS47" s="170"/>
      <c r="BT47" s="170"/>
      <c r="BU47" s="168">
        <v>4</v>
      </c>
      <c r="BV47" s="170"/>
      <c r="BW47" s="168">
        <v>2</v>
      </c>
      <c r="BX47" s="168">
        <v>4</v>
      </c>
      <c r="BY47" s="168">
        <v>4</v>
      </c>
      <c r="BZ47" s="170"/>
      <c r="CA47" s="170"/>
      <c r="CB47" s="170"/>
      <c r="CC47" s="170"/>
      <c r="CD47" s="170"/>
      <c r="CE47" s="170"/>
      <c r="CF47" s="170"/>
      <c r="CG47" s="170"/>
      <c r="CH47" s="170"/>
      <c r="CI47" s="167"/>
      <c r="CJ47" s="171"/>
    </row>
    <row r="48" spans="3:88" x14ac:dyDescent="0.2">
      <c r="C48" s="172"/>
      <c r="D48" s="173" t="s">
        <v>114</v>
      </c>
      <c r="E48" s="173" t="s">
        <v>289</v>
      </c>
      <c r="F48" s="173" t="s">
        <v>96</v>
      </c>
      <c r="G48" s="173" t="s">
        <v>277</v>
      </c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174"/>
    </row>
    <row r="49" spans="3:88" ht="13.5" thickBot="1" x14ac:dyDescent="0.25">
      <c r="C49" s="175"/>
      <c r="D49" s="176"/>
      <c r="E49" s="176" t="s">
        <v>289</v>
      </c>
      <c r="F49" s="176" t="s">
        <v>96</v>
      </c>
      <c r="G49" s="176" t="s">
        <v>292</v>
      </c>
      <c r="H49" s="177"/>
      <c r="I49" s="177">
        <f>IF(I47&lt;&gt;"",I47-I48,"")</f>
        <v>5</v>
      </c>
      <c r="J49" s="177">
        <f>IF(J47&lt;&gt;"",J47-J48,"")</f>
        <v>5</v>
      </c>
      <c r="K49" s="177">
        <f>IF(K47&lt;&gt;"",K47-K48,"")</f>
        <v>5</v>
      </c>
      <c r="L49" s="177">
        <f>IF(L47&lt;&gt;"",L47-L48,"")</f>
        <v>5</v>
      </c>
      <c r="M49" s="177">
        <f>IF(M47&lt;&gt;"",M47-M48,"")</f>
        <v>5</v>
      </c>
      <c r="N49" s="177">
        <f>IF(N47&lt;&gt;"",N47-N48,"")</f>
        <v>5</v>
      </c>
      <c r="O49" s="177">
        <f>IF(O47&lt;&gt;"",O47-O48,"")</f>
        <v>5</v>
      </c>
      <c r="P49" s="177">
        <f>IF(P47&lt;&gt;"",P47-P48,"")</f>
        <v>3</v>
      </c>
      <c r="Q49" s="177">
        <f>IF(Q47&lt;&gt;"",Q47-Q48,"")</f>
        <v>5</v>
      </c>
      <c r="R49" s="177">
        <f>IF(R47&lt;&gt;"",R47-R48,"")</f>
        <v>5</v>
      </c>
      <c r="S49" s="177">
        <f>IF(S47&lt;&gt;"",S47-S48,"")</f>
        <v>5</v>
      </c>
      <c r="T49" s="177">
        <f>IF(T47&lt;&gt;"",T47-T48,"")</f>
        <v>5</v>
      </c>
      <c r="U49" s="177">
        <f>IF(U47&lt;&gt;"",U47-U48,"")</f>
        <v>4</v>
      </c>
      <c r="V49" s="177">
        <f>IF(V47&lt;&gt;"",V47-V48,"")</f>
        <v>4</v>
      </c>
      <c r="W49" s="177" t="str">
        <f>IF(W47&lt;&gt;"",W47-W48,"")</f>
        <v/>
      </c>
      <c r="X49" s="177">
        <f>IF(X47&lt;&gt;"",X47-X48,"")</f>
        <v>4</v>
      </c>
      <c r="Y49" s="177" t="str">
        <f>IF(Y47&lt;&gt;"",Y47-Y48,"")</f>
        <v/>
      </c>
      <c r="Z49" s="177" t="str">
        <f>IF(Z47&lt;&gt;"",Z47-Z48,"")</f>
        <v/>
      </c>
      <c r="AA49" s="177">
        <f>IF(AA47&lt;&gt;"",AA47-AA48,"")</f>
        <v>5</v>
      </c>
      <c r="AB49" s="177" t="str">
        <f>IF(AB47&lt;&gt;"",AB47-AB48,"")</f>
        <v/>
      </c>
      <c r="AC49" s="177">
        <f>IF(AC47&lt;&gt;"",AC47-AC48,"")</f>
        <v>3</v>
      </c>
      <c r="AD49" s="177">
        <f>IF(AD47&lt;&gt;"",AD47-AD48,"")</f>
        <v>5</v>
      </c>
      <c r="AE49" s="177">
        <f>IF(AE47&lt;&gt;"",AE47-AE48,"")</f>
        <v>5</v>
      </c>
      <c r="AF49" s="177">
        <f>IF(AF47&lt;&gt;"",AF47-AF48,"")</f>
        <v>5</v>
      </c>
      <c r="AG49" s="177">
        <f>IF(AG47&lt;&gt;"",AG47-AG48,"")</f>
        <v>5</v>
      </c>
      <c r="AH49" s="177">
        <f>IF(AH47&lt;&gt;"",AH47-AH48,"")</f>
        <v>4</v>
      </c>
      <c r="AI49" s="177">
        <f>IF(AI47&lt;&gt;"",AI47-AI48,"")</f>
        <v>3</v>
      </c>
      <c r="AJ49" s="177">
        <f>IF(AJ47&lt;&gt;"",AJ47-AJ48,"")</f>
        <v>3</v>
      </c>
      <c r="AK49" s="177" t="str">
        <f>IF(AK47&lt;&gt;"",AK47-AK48,"")</f>
        <v/>
      </c>
      <c r="AL49" s="177">
        <f>IF(AL47&lt;&gt;"",AL47-AL48,"")</f>
        <v>2</v>
      </c>
      <c r="AM49" s="177">
        <f>IF(AM47&lt;&gt;"",AM47-AM48,"")</f>
        <v>4</v>
      </c>
      <c r="AN49" s="177">
        <f>IF(AN47&lt;&gt;"",AN47-AN48,"")</f>
        <v>4</v>
      </c>
      <c r="AO49" s="177">
        <f>IF(AO47&lt;&gt;"",AO47-AO48,"")</f>
        <v>4</v>
      </c>
      <c r="AP49" s="177" t="str">
        <f>IF(AP47&lt;&gt;"",AP47-AP48,"")</f>
        <v/>
      </c>
      <c r="AQ49" s="177" t="str">
        <f>IF(AQ47&lt;&gt;"",AQ47-AQ48,"")</f>
        <v/>
      </c>
      <c r="AR49" s="177">
        <f>IF(AR47&lt;&gt;"",AR47-AR48,"")</f>
        <v>5</v>
      </c>
      <c r="AS49" s="177">
        <f>IF(AS47&lt;&gt;"",AS47-AS48,"")</f>
        <v>4</v>
      </c>
      <c r="AT49" s="177" t="str">
        <f>IF(AT47&lt;&gt;"",AT47-AT48,"")</f>
        <v/>
      </c>
      <c r="AU49" s="177">
        <f>IF(AU47&lt;&gt;"",AU47-AU48,"")</f>
        <v>4</v>
      </c>
      <c r="AV49" s="177">
        <f>IF(AV47&lt;&gt;"",AV47-AV48,"")</f>
        <v>4</v>
      </c>
      <c r="AW49" s="177">
        <f>IF(AW47&lt;&gt;"",AW47-AW48,"")</f>
        <v>4</v>
      </c>
      <c r="AX49" s="177" t="str">
        <f>IF(AX47&lt;&gt;"",AX47-AX48,"")</f>
        <v/>
      </c>
      <c r="AY49" s="177" t="str">
        <f>IF(AY47&lt;&gt;"",AY47-AY48,"")</f>
        <v/>
      </c>
      <c r="AZ49" s="177">
        <f>IF(AZ47&lt;&gt;"",AZ47-AZ48,"")</f>
        <v>4</v>
      </c>
      <c r="BA49" s="177">
        <f>IF(BA47&lt;&gt;"",BA47-BA48,"")</f>
        <v>5</v>
      </c>
      <c r="BB49" s="177" t="str">
        <f>IF(BB47&lt;&gt;"",BB47-BB48,"")</f>
        <v/>
      </c>
      <c r="BC49" s="177">
        <f>IF(BC47&lt;&gt;"",BC47-BC48,"")</f>
        <v>6</v>
      </c>
      <c r="BD49" s="177">
        <f>IF(BD47&lt;&gt;"",BD47-BD48,"")</f>
        <v>5</v>
      </c>
      <c r="BE49" s="177">
        <f>IF(BE47&lt;&gt;"",BE47-BE48,"")</f>
        <v>5</v>
      </c>
      <c r="BF49" s="177">
        <f>IF(BF47&lt;&gt;"",BF47-BF48,"")</f>
        <v>5</v>
      </c>
      <c r="BG49" s="177">
        <f>IF(BG47&lt;&gt;"",BG47-BG48,"")</f>
        <v>4</v>
      </c>
      <c r="BH49" s="177" t="str">
        <f>IF(BH47&lt;&gt;"",BH47-BH48,"")</f>
        <v/>
      </c>
      <c r="BI49" s="177" t="str">
        <f>IF(BI47&lt;&gt;"",BI47-BI48,"")</f>
        <v/>
      </c>
      <c r="BJ49" s="177" t="str">
        <f>IF(BJ47&lt;&gt;"",BJ47-BJ48,"")</f>
        <v/>
      </c>
      <c r="BK49" s="177" t="str">
        <f>IF(BK47&lt;&gt;"",BK47-BK48,"")</f>
        <v/>
      </c>
      <c r="BL49" s="177">
        <f>IF(BL47&lt;&gt;"",BL47-BL48,"")</f>
        <v>4</v>
      </c>
      <c r="BM49" s="177" t="str">
        <f>IF(BM47&lt;&gt;"",BM47-BM48,"")</f>
        <v/>
      </c>
      <c r="BN49" s="177" t="str">
        <f>IF(BN47&lt;&gt;"",BN47-BN48,"")</f>
        <v/>
      </c>
      <c r="BO49" s="177">
        <f>IF(BO47&lt;&gt;"",BO47-BO48,"")</f>
        <v>4</v>
      </c>
      <c r="BP49" s="177" t="str">
        <f>IF(BP47&lt;&gt;"",BP47-BP48,"")</f>
        <v/>
      </c>
      <c r="BQ49" s="177">
        <f>IF(BQ47&lt;&gt;"",BQ47-BQ48,"")</f>
        <v>5</v>
      </c>
      <c r="BR49" s="177" t="str">
        <f>IF(BR47&lt;&gt;"",BR47-BR48,"")</f>
        <v/>
      </c>
      <c r="BS49" s="177" t="str">
        <f>IF(BS47&lt;&gt;"",BS47-BS48,"")</f>
        <v/>
      </c>
      <c r="BT49" s="177" t="str">
        <f>IF(BT47&lt;&gt;"",BT47-BT48,"")</f>
        <v/>
      </c>
      <c r="BU49" s="177">
        <f>IF(BU47&lt;&gt;"",BU47-BU48,"")</f>
        <v>4</v>
      </c>
      <c r="BV49" s="177" t="str">
        <f>IF(BV47&lt;&gt;"",BV47-BV48,"")</f>
        <v/>
      </c>
      <c r="BW49" s="177">
        <f>IF(BW47&lt;&gt;"",BW47-BW48,"")</f>
        <v>2</v>
      </c>
      <c r="BX49" s="177">
        <f>IF(BX47&lt;&gt;"",BX47-BX48,"")</f>
        <v>4</v>
      </c>
      <c r="BY49" s="177">
        <f>IF(BY47&lt;&gt;"",BY47-BY48,"")</f>
        <v>4</v>
      </c>
      <c r="BZ49" s="177" t="str">
        <f>IF(BZ47&lt;&gt;"",BZ47-BZ48,"")</f>
        <v/>
      </c>
      <c r="CA49" s="177" t="str">
        <f>IF(CA47&lt;&gt;"",CA47-CA48,"")</f>
        <v/>
      </c>
      <c r="CB49" s="177" t="str">
        <f>IF(CB47&lt;&gt;"",CB47-CB48,"")</f>
        <v/>
      </c>
      <c r="CC49" s="177" t="str">
        <f>IF(CC47&lt;&gt;"",CC47-CC48,"")</f>
        <v/>
      </c>
      <c r="CD49" s="177" t="str">
        <f>IF(CD47&lt;&gt;"",CD47-CD48,"")</f>
        <v/>
      </c>
      <c r="CE49" s="177" t="str">
        <f>IF(CE47&lt;&gt;"",CE47-CE48,"")</f>
        <v/>
      </c>
      <c r="CF49" s="177" t="str">
        <f>IF(CF47&lt;&gt;"",CF47-CF48,"")</f>
        <v/>
      </c>
      <c r="CG49" s="177" t="str">
        <f>IF(CG47&lt;&gt;"",CG47-CG48,"")</f>
        <v/>
      </c>
      <c r="CH49" s="177" t="str">
        <f>IF(CH47&lt;&gt;"",CH47-CH48,"")</f>
        <v/>
      </c>
      <c r="CI49" s="177"/>
      <c r="CJ49" s="178"/>
    </row>
    <row r="50" spans="3:88" ht="13.5" thickTop="1" x14ac:dyDescent="0.2">
      <c r="C50" s="165"/>
      <c r="D50" s="166"/>
      <c r="E50" s="166" t="s">
        <v>290</v>
      </c>
      <c r="F50" s="166" t="s">
        <v>96</v>
      </c>
      <c r="G50" s="166" t="s">
        <v>291</v>
      </c>
      <c r="H50" s="167"/>
      <c r="I50" s="168">
        <v>5</v>
      </c>
      <c r="J50" s="169">
        <v>5</v>
      </c>
      <c r="K50" s="169">
        <v>5</v>
      </c>
      <c r="L50" s="169">
        <v>5</v>
      </c>
      <c r="M50" s="168">
        <v>5</v>
      </c>
      <c r="N50" s="168">
        <v>5</v>
      </c>
      <c r="O50" s="168">
        <v>5</v>
      </c>
      <c r="P50" s="168">
        <v>3</v>
      </c>
      <c r="Q50" s="168">
        <v>5</v>
      </c>
      <c r="R50" s="168">
        <v>5</v>
      </c>
      <c r="S50" s="168">
        <v>5</v>
      </c>
      <c r="T50" s="169">
        <v>5</v>
      </c>
      <c r="U50" s="168">
        <v>4</v>
      </c>
      <c r="V50" s="169">
        <v>4</v>
      </c>
      <c r="W50" s="170"/>
      <c r="X50" s="169">
        <v>4</v>
      </c>
      <c r="Y50" s="170"/>
      <c r="Z50" s="170"/>
      <c r="AA50" s="168">
        <v>5</v>
      </c>
      <c r="AB50" s="170"/>
      <c r="AC50" s="169">
        <v>3</v>
      </c>
      <c r="AD50" s="169">
        <v>5</v>
      </c>
      <c r="AE50" s="168">
        <v>5</v>
      </c>
      <c r="AF50" s="169">
        <v>5</v>
      </c>
      <c r="AG50" s="169">
        <v>5</v>
      </c>
      <c r="AH50" s="168">
        <v>4</v>
      </c>
      <c r="AI50" s="168">
        <v>3</v>
      </c>
      <c r="AJ50" s="168">
        <v>3</v>
      </c>
      <c r="AK50" s="170"/>
      <c r="AL50" s="168">
        <v>2</v>
      </c>
      <c r="AM50" s="169">
        <v>4</v>
      </c>
      <c r="AN50" s="168">
        <v>4</v>
      </c>
      <c r="AO50" s="168">
        <v>4</v>
      </c>
      <c r="AP50" s="170"/>
      <c r="AQ50" s="170"/>
      <c r="AR50" s="168">
        <v>5</v>
      </c>
      <c r="AS50" s="168">
        <v>4</v>
      </c>
      <c r="AT50" s="170"/>
      <c r="AU50" s="168">
        <v>4</v>
      </c>
      <c r="AV50" s="168">
        <v>4</v>
      </c>
      <c r="AW50" s="168">
        <v>4</v>
      </c>
      <c r="AX50" s="170"/>
      <c r="AY50" s="170"/>
      <c r="AZ50" s="168">
        <v>4</v>
      </c>
      <c r="BA50" s="168">
        <v>5</v>
      </c>
      <c r="BB50" s="170"/>
      <c r="BC50" s="168">
        <v>6</v>
      </c>
      <c r="BD50" s="169">
        <v>5</v>
      </c>
      <c r="BE50" s="169">
        <v>5</v>
      </c>
      <c r="BF50" s="169">
        <v>5</v>
      </c>
      <c r="BG50" s="168">
        <v>4</v>
      </c>
      <c r="BH50" s="170"/>
      <c r="BI50" s="170"/>
      <c r="BJ50" s="170"/>
      <c r="BK50" s="170"/>
      <c r="BL50" s="168">
        <v>4</v>
      </c>
      <c r="BM50" s="170"/>
      <c r="BN50" s="170"/>
      <c r="BO50" s="168">
        <v>4</v>
      </c>
      <c r="BP50" s="170"/>
      <c r="BQ50" s="169">
        <v>5</v>
      </c>
      <c r="BR50" s="170"/>
      <c r="BS50" s="170"/>
      <c r="BT50" s="170"/>
      <c r="BU50" s="168">
        <v>4</v>
      </c>
      <c r="BV50" s="170"/>
      <c r="BW50" s="168">
        <v>2</v>
      </c>
      <c r="BX50" s="168">
        <v>4</v>
      </c>
      <c r="BY50" s="168">
        <v>4</v>
      </c>
      <c r="BZ50" s="170"/>
      <c r="CA50" s="170"/>
      <c r="CB50" s="170"/>
      <c r="CC50" s="170"/>
      <c r="CD50" s="170"/>
      <c r="CE50" s="170"/>
      <c r="CF50" s="170"/>
      <c r="CG50" s="170"/>
      <c r="CH50" s="170"/>
      <c r="CI50" s="167"/>
      <c r="CJ50" s="171"/>
    </row>
    <row r="51" spans="3:88" x14ac:dyDescent="0.2">
      <c r="C51" s="172"/>
      <c r="D51" s="173" t="s">
        <v>114</v>
      </c>
      <c r="E51" s="173" t="s">
        <v>290</v>
      </c>
      <c r="F51" s="173" t="s">
        <v>96</v>
      </c>
      <c r="G51" s="173" t="s">
        <v>277</v>
      </c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  <c r="S51" s="30"/>
      <c r="T51" s="30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0"/>
      <c r="BY51" s="30"/>
      <c r="BZ51" s="30"/>
      <c r="CA51" s="30"/>
      <c r="CB51" s="30"/>
      <c r="CC51" s="30"/>
      <c r="CD51" s="30"/>
      <c r="CE51" s="30"/>
      <c r="CF51" s="30"/>
      <c r="CG51" s="30"/>
      <c r="CH51" s="30"/>
      <c r="CI51" s="30"/>
      <c r="CJ51" s="174"/>
    </row>
    <row r="52" spans="3:88" ht="13.5" thickBot="1" x14ac:dyDescent="0.25">
      <c r="C52" s="175"/>
      <c r="D52" s="176"/>
      <c r="E52" s="176" t="s">
        <v>290</v>
      </c>
      <c r="F52" s="176" t="s">
        <v>96</v>
      </c>
      <c r="G52" s="176" t="s">
        <v>292</v>
      </c>
      <c r="H52" s="177"/>
      <c r="I52" s="177">
        <f>IF(I50&lt;&gt;"",I50-I51,"")</f>
        <v>5</v>
      </c>
      <c r="J52" s="177">
        <f>IF(J50&lt;&gt;"",J50-J51,"")</f>
        <v>5</v>
      </c>
      <c r="K52" s="177">
        <f>IF(K50&lt;&gt;"",K50-K51,"")</f>
        <v>5</v>
      </c>
      <c r="L52" s="177">
        <f>IF(L50&lt;&gt;"",L50-L51,"")</f>
        <v>5</v>
      </c>
      <c r="M52" s="177">
        <f>IF(M50&lt;&gt;"",M50-M51,"")</f>
        <v>5</v>
      </c>
      <c r="N52" s="177">
        <f>IF(N50&lt;&gt;"",N50-N51,"")</f>
        <v>5</v>
      </c>
      <c r="O52" s="177">
        <f>IF(O50&lt;&gt;"",O50-O51,"")</f>
        <v>5</v>
      </c>
      <c r="P52" s="177">
        <f>IF(P50&lt;&gt;"",P50-P51,"")</f>
        <v>3</v>
      </c>
      <c r="Q52" s="177">
        <f>IF(Q50&lt;&gt;"",Q50-Q51,"")</f>
        <v>5</v>
      </c>
      <c r="R52" s="177">
        <f>IF(R50&lt;&gt;"",R50-R51,"")</f>
        <v>5</v>
      </c>
      <c r="S52" s="177">
        <f>IF(S50&lt;&gt;"",S50-S51,"")</f>
        <v>5</v>
      </c>
      <c r="T52" s="177">
        <f>IF(T50&lt;&gt;"",T50-T51,"")</f>
        <v>5</v>
      </c>
      <c r="U52" s="177">
        <f>IF(U50&lt;&gt;"",U50-U51,"")</f>
        <v>4</v>
      </c>
      <c r="V52" s="177">
        <f>IF(V50&lt;&gt;"",V50-V51,"")</f>
        <v>4</v>
      </c>
      <c r="W52" s="177" t="str">
        <f>IF(W50&lt;&gt;"",W50-W51,"")</f>
        <v/>
      </c>
      <c r="X52" s="177">
        <f>IF(X50&lt;&gt;"",X50-X51,"")</f>
        <v>4</v>
      </c>
      <c r="Y52" s="177" t="str">
        <f>IF(Y50&lt;&gt;"",Y50-Y51,"")</f>
        <v/>
      </c>
      <c r="Z52" s="177" t="str">
        <f>IF(Z50&lt;&gt;"",Z50-Z51,"")</f>
        <v/>
      </c>
      <c r="AA52" s="177">
        <f>IF(AA50&lt;&gt;"",AA50-AA51,"")</f>
        <v>5</v>
      </c>
      <c r="AB52" s="177" t="str">
        <f>IF(AB50&lt;&gt;"",AB50-AB51,"")</f>
        <v/>
      </c>
      <c r="AC52" s="177">
        <f>IF(AC50&lt;&gt;"",AC50-AC51,"")</f>
        <v>3</v>
      </c>
      <c r="AD52" s="177">
        <f>IF(AD50&lt;&gt;"",AD50-AD51,"")</f>
        <v>5</v>
      </c>
      <c r="AE52" s="177">
        <f>IF(AE50&lt;&gt;"",AE50-AE51,"")</f>
        <v>5</v>
      </c>
      <c r="AF52" s="177">
        <f>IF(AF50&lt;&gt;"",AF50-AF51,"")</f>
        <v>5</v>
      </c>
      <c r="AG52" s="177">
        <f>IF(AG50&lt;&gt;"",AG50-AG51,"")</f>
        <v>5</v>
      </c>
      <c r="AH52" s="177">
        <f>IF(AH50&lt;&gt;"",AH50-AH51,"")</f>
        <v>4</v>
      </c>
      <c r="AI52" s="177">
        <f>IF(AI50&lt;&gt;"",AI50-AI51,"")</f>
        <v>3</v>
      </c>
      <c r="AJ52" s="177">
        <f>IF(AJ50&lt;&gt;"",AJ50-AJ51,"")</f>
        <v>3</v>
      </c>
      <c r="AK52" s="177" t="str">
        <f>IF(AK50&lt;&gt;"",AK50-AK51,"")</f>
        <v/>
      </c>
      <c r="AL52" s="177">
        <f>IF(AL50&lt;&gt;"",AL50-AL51,"")</f>
        <v>2</v>
      </c>
      <c r="AM52" s="177">
        <f>IF(AM50&lt;&gt;"",AM50-AM51,"")</f>
        <v>4</v>
      </c>
      <c r="AN52" s="177">
        <f>IF(AN50&lt;&gt;"",AN50-AN51,"")</f>
        <v>4</v>
      </c>
      <c r="AO52" s="177">
        <f>IF(AO50&lt;&gt;"",AO50-AO51,"")</f>
        <v>4</v>
      </c>
      <c r="AP52" s="177" t="str">
        <f>IF(AP50&lt;&gt;"",AP50-AP51,"")</f>
        <v/>
      </c>
      <c r="AQ52" s="177" t="str">
        <f>IF(AQ50&lt;&gt;"",AQ50-AQ51,"")</f>
        <v/>
      </c>
      <c r="AR52" s="177">
        <f>IF(AR50&lt;&gt;"",AR50-AR51,"")</f>
        <v>5</v>
      </c>
      <c r="AS52" s="177">
        <f>IF(AS50&lt;&gt;"",AS50-AS51,"")</f>
        <v>4</v>
      </c>
      <c r="AT52" s="177" t="str">
        <f>IF(AT50&lt;&gt;"",AT50-AT51,"")</f>
        <v/>
      </c>
      <c r="AU52" s="177">
        <f>IF(AU50&lt;&gt;"",AU50-AU51,"")</f>
        <v>4</v>
      </c>
      <c r="AV52" s="177">
        <f>IF(AV50&lt;&gt;"",AV50-AV51,"")</f>
        <v>4</v>
      </c>
      <c r="AW52" s="177">
        <f>IF(AW50&lt;&gt;"",AW50-AW51,"")</f>
        <v>4</v>
      </c>
      <c r="AX52" s="177" t="str">
        <f>IF(AX50&lt;&gt;"",AX50-AX51,"")</f>
        <v/>
      </c>
      <c r="AY52" s="177" t="str">
        <f>IF(AY50&lt;&gt;"",AY50-AY51,"")</f>
        <v/>
      </c>
      <c r="AZ52" s="177">
        <f>IF(AZ50&lt;&gt;"",AZ50-AZ51,"")</f>
        <v>4</v>
      </c>
      <c r="BA52" s="177">
        <f>IF(BA50&lt;&gt;"",BA50-BA51,"")</f>
        <v>5</v>
      </c>
      <c r="BB52" s="177" t="str">
        <f>IF(BB50&lt;&gt;"",BB50-BB51,"")</f>
        <v/>
      </c>
      <c r="BC52" s="177">
        <f>IF(BC50&lt;&gt;"",BC50-BC51,"")</f>
        <v>6</v>
      </c>
      <c r="BD52" s="177">
        <f>IF(BD50&lt;&gt;"",BD50-BD51,"")</f>
        <v>5</v>
      </c>
      <c r="BE52" s="177">
        <f>IF(BE50&lt;&gt;"",BE50-BE51,"")</f>
        <v>5</v>
      </c>
      <c r="BF52" s="177">
        <f>IF(BF50&lt;&gt;"",BF50-BF51,"")</f>
        <v>5</v>
      </c>
      <c r="BG52" s="177">
        <f>IF(BG50&lt;&gt;"",BG50-BG51,"")</f>
        <v>4</v>
      </c>
      <c r="BH52" s="177" t="str">
        <f>IF(BH50&lt;&gt;"",BH50-BH51,"")</f>
        <v/>
      </c>
      <c r="BI52" s="177" t="str">
        <f>IF(BI50&lt;&gt;"",BI50-BI51,"")</f>
        <v/>
      </c>
      <c r="BJ52" s="177" t="str">
        <f>IF(BJ50&lt;&gt;"",BJ50-BJ51,"")</f>
        <v/>
      </c>
      <c r="BK52" s="177" t="str">
        <f>IF(BK50&lt;&gt;"",BK50-BK51,"")</f>
        <v/>
      </c>
      <c r="BL52" s="177">
        <f>IF(BL50&lt;&gt;"",BL50-BL51,"")</f>
        <v>4</v>
      </c>
      <c r="BM52" s="177" t="str">
        <f>IF(BM50&lt;&gt;"",BM50-BM51,"")</f>
        <v/>
      </c>
      <c r="BN52" s="177" t="str">
        <f>IF(BN50&lt;&gt;"",BN50-BN51,"")</f>
        <v/>
      </c>
      <c r="BO52" s="177">
        <f>IF(BO50&lt;&gt;"",BO50-BO51,"")</f>
        <v>4</v>
      </c>
      <c r="BP52" s="177" t="str">
        <f>IF(BP50&lt;&gt;"",BP50-BP51,"")</f>
        <v/>
      </c>
      <c r="BQ52" s="177">
        <f>IF(BQ50&lt;&gt;"",BQ50-BQ51,"")</f>
        <v>5</v>
      </c>
      <c r="BR52" s="177" t="str">
        <f>IF(BR50&lt;&gt;"",BR50-BR51,"")</f>
        <v/>
      </c>
      <c r="BS52" s="177" t="str">
        <f>IF(BS50&lt;&gt;"",BS50-BS51,"")</f>
        <v/>
      </c>
      <c r="BT52" s="177" t="str">
        <f>IF(BT50&lt;&gt;"",BT50-BT51,"")</f>
        <v/>
      </c>
      <c r="BU52" s="177">
        <f>IF(BU50&lt;&gt;"",BU50-BU51,"")</f>
        <v>4</v>
      </c>
      <c r="BV52" s="177" t="str">
        <f>IF(BV50&lt;&gt;"",BV50-BV51,"")</f>
        <v/>
      </c>
      <c r="BW52" s="177">
        <f>IF(BW50&lt;&gt;"",BW50-BW51,"")</f>
        <v>2</v>
      </c>
      <c r="BX52" s="177">
        <f>IF(BX50&lt;&gt;"",BX50-BX51,"")</f>
        <v>4</v>
      </c>
      <c r="BY52" s="177">
        <f>IF(BY50&lt;&gt;"",BY50-BY51,"")</f>
        <v>4</v>
      </c>
      <c r="BZ52" s="177" t="str">
        <f>IF(BZ50&lt;&gt;"",BZ50-BZ51,"")</f>
        <v/>
      </c>
      <c r="CA52" s="177" t="str">
        <f>IF(CA50&lt;&gt;"",CA50-CA51,"")</f>
        <v/>
      </c>
      <c r="CB52" s="177" t="str">
        <f>IF(CB50&lt;&gt;"",CB50-CB51,"")</f>
        <v/>
      </c>
      <c r="CC52" s="177" t="str">
        <f>IF(CC50&lt;&gt;"",CC50-CC51,"")</f>
        <v/>
      </c>
      <c r="CD52" s="177" t="str">
        <f>IF(CD50&lt;&gt;"",CD50-CD51,"")</f>
        <v/>
      </c>
      <c r="CE52" s="177" t="str">
        <f>IF(CE50&lt;&gt;"",CE50-CE51,"")</f>
        <v/>
      </c>
      <c r="CF52" s="177" t="str">
        <f>IF(CF50&lt;&gt;"",CF50-CF51,"")</f>
        <v/>
      </c>
      <c r="CG52" s="177" t="str">
        <f>IF(CG50&lt;&gt;"",CG50-CG51,"")</f>
        <v/>
      </c>
      <c r="CH52" s="177" t="str">
        <f>IF(CH50&lt;&gt;"",CH50-CH51,"")</f>
        <v/>
      </c>
      <c r="CI52" s="177"/>
      <c r="CJ52" s="178"/>
    </row>
    <row r="53" spans="3:88" ht="13.5" thickTop="1" x14ac:dyDescent="0.2"/>
  </sheetData>
  <dataConsolidate link="1"/>
  <mergeCells count="14">
    <mergeCell ref="CI1:CI7"/>
    <mergeCell ref="C1:F1"/>
    <mergeCell ref="H1:H7"/>
    <mergeCell ref="C2:G7"/>
    <mergeCell ref="I10:S10"/>
    <mergeCell ref="T10:AE10"/>
    <mergeCell ref="AF10:AH10"/>
    <mergeCell ref="AI10:AP10"/>
    <mergeCell ref="AQ10:BA10"/>
    <mergeCell ref="BB10:BI10"/>
    <mergeCell ref="BJ10:BP10"/>
    <mergeCell ref="BQ10:BR10"/>
    <mergeCell ref="BS10:CA10"/>
    <mergeCell ref="CB10:CH10"/>
  </mergeCells>
  <phoneticPr fontId="3" type="noConversion"/>
  <conditionalFormatting sqref="H53:CI1048576 H15:H52 CI15:CI52">
    <cfRule type="colorScale" priority="3">
      <colorScale>
        <cfvo type="num" val="0"/>
        <cfvo type="num" val="7"/>
        <color rgb="FFFFFFFF"/>
        <color rgb="FF319362"/>
      </colorScale>
    </cfRule>
  </conditionalFormatting>
  <conditionalFormatting sqref="I15:CH15">
    <cfRule type="colorScale" priority="4">
      <colorScale>
        <cfvo type="num" val="1"/>
        <cfvo type="num" val="7"/>
        <color rgb="FFC6EFCE"/>
        <color rgb="FF00B050"/>
      </colorScale>
    </cfRule>
  </conditionalFormatting>
  <conditionalFormatting sqref="I16:CH16">
    <cfRule type="colorScale" priority="5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18:CH18">
    <cfRule type="colorScale" priority="6">
      <colorScale>
        <cfvo type="num" val="1"/>
        <cfvo type="num" val="7"/>
        <color rgb="FFC6EFCE"/>
        <color rgb="FF00B050"/>
      </colorScale>
    </cfRule>
  </conditionalFormatting>
  <conditionalFormatting sqref="I19:CH19">
    <cfRule type="colorScale" priority="7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21:CH21">
    <cfRule type="colorScale" priority="8">
      <colorScale>
        <cfvo type="num" val="1"/>
        <cfvo type="num" val="7"/>
        <color rgb="FFC6EFCE"/>
        <color rgb="FF00B050"/>
      </colorScale>
    </cfRule>
  </conditionalFormatting>
  <conditionalFormatting sqref="I22:CH22">
    <cfRule type="colorScale" priority="9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24:CH24">
    <cfRule type="colorScale" priority="10">
      <colorScale>
        <cfvo type="num" val="1"/>
        <cfvo type="num" val="7"/>
        <color rgb="FFC6EFCE"/>
        <color rgb="FF00B050"/>
      </colorScale>
    </cfRule>
  </conditionalFormatting>
  <conditionalFormatting sqref="I25:CH25">
    <cfRule type="colorScale" priority="11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27:CH27">
    <cfRule type="colorScale" priority="12">
      <colorScale>
        <cfvo type="num" val="1"/>
        <cfvo type="num" val="7"/>
        <color rgb="FFC6EFCE"/>
        <color rgb="FF00B050"/>
      </colorScale>
    </cfRule>
  </conditionalFormatting>
  <conditionalFormatting sqref="I28:CH28">
    <cfRule type="colorScale" priority="13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30:CH30">
    <cfRule type="colorScale" priority="14">
      <colorScale>
        <cfvo type="num" val="1"/>
        <cfvo type="num" val="7"/>
        <color rgb="FFC6EFCE"/>
        <color rgb="FF00B050"/>
      </colorScale>
    </cfRule>
  </conditionalFormatting>
  <conditionalFormatting sqref="I31:CH31">
    <cfRule type="colorScale" priority="15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33:CH33">
    <cfRule type="colorScale" priority="16">
      <colorScale>
        <cfvo type="num" val="1"/>
        <cfvo type="num" val="7"/>
        <color rgb="FFC6EFCE"/>
        <color rgb="FF00B050"/>
      </colorScale>
    </cfRule>
  </conditionalFormatting>
  <conditionalFormatting sqref="I34:CH34">
    <cfRule type="colorScale" priority="17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36:CH36">
    <cfRule type="colorScale" priority="18">
      <colorScale>
        <cfvo type="num" val="1"/>
        <cfvo type="num" val="7"/>
        <color rgb="FFC6EFCE"/>
        <color rgb="FF00B050"/>
      </colorScale>
    </cfRule>
  </conditionalFormatting>
  <conditionalFormatting sqref="I37:CH37">
    <cfRule type="colorScale" priority="19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39:CH39">
    <cfRule type="colorScale" priority="20">
      <colorScale>
        <cfvo type="num" val="1"/>
        <cfvo type="num" val="7"/>
        <color rgb="FFC6EFCE"/>
        <color rgb="FF00B050"/>
      </colorScale>
    </cfRule>
  </conditionalFormatting>
  <conditionalFormatting sqref="I40:CH40">
    <cfRule type="colorScale" priority="21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42:CH42">
    <cfRule type="colorScale" priority="22">
      <colorScale>
        <cfvo type="num" val="1"/>
        <cfvo type="num" val="7"/>
        <color rgb="FFC6EFCE"/>
        <color rgb="FF00B050"/>
      </colorScale>
    </cfRule>
  </conditionalFormatting>
  <conditionalFormatting sqref="I43:CH43">
    <cfRule type="colorScale" priority="23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45:CH45">
    <cfRule type="colorScale" priority="24">
      <colorScale>
        <cfvo type="num" val="1"/>
        <cfvo type="num" val="7"/>
        <color rgb="FFC6EFCE"/>
        <color rgb="FF00B050"/>
      </colorScale>
    </cfRule>
  </conditionalFormatting>
  <conditionalFormatting sqref="I46:CH46">
    <cfRule type="colorScale" priority="25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48:CH48">
    <cfRule type="colorScale" priority="26">
      <colorScale>
        <cfvo type="num" val="1"/>
        <cfvo type="num" val="7"/>
        <color rgb="FFC6EFCE"/>
        <color rgb="FF00B050"/>
      </colorScale>
    </cfRule>
  </conditionalFormatting>
  <conditionalFormatting sqref="I49:CH49">
    <cfRule type="colorScale" priority="27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conditionalFormatting sqref="I51:CH51">
    <cfRule type="colorScale" priority="28">
      <colorScale>
        <cfvo type="num" val="1"/>
        <cfvo type="num" val="7"/>
        <color rgb="FFC6EFCE"/>
        <color rgb="FF00B050"/>
      </colorScale>
    </cfRule>
  </conditionalFormatting>
  <conditionalFormatting sqref="I52:CH52">
    <cfRule type="colorScale" priority="29">
      <colorScale>
        <cfvo type="num" val="-7"/>
        <cfvo type="num" val="0"/>
        <cfvo type="num" val="7"/>
        <color rgb="FF00B050"/>
        <color rgb="FFC6EFCE"/>
        <color rgb="FFFF6464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SyncRolesToSkillsMatrix_Click">
                <anchor>
                  <from>
                    <xdr:col>13</xdr:col>
                    <xdr:colOff>38100</xdr:colOff>
                    <xdr:row>4</xdr:row>
                    <xdr:rowOff>9525</xdr:rowOff>
                  </from>
                  <to>
                    <xdr:col>26</xdr:col>
                    <xdr:colOff>104775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W112"/>
  <sheetViews>
    <sheetView topLeftCell="A8" workbookViewId="0">
      <selection activeCell="D16" sqref="D16"/>
    </sheetView>
  </sheetViews>
  <sheetFormatPr defaultColWidth="8.7109375" defaultRowHeight="12.75" x14ac:dyDescent="0.2"/>
  <cols>
    <col min="1" max="1" width="9.85546875" customWidth="1"/>
    <col min="2" max="2" width="13" customWidth="1"/>
    <col min="3" max="3" width="15.7109375" customWidth="1"/>
    <col min="4" max="4" width="50.28515625" customWidth="1"/>
    <col min="5" max="5" width="3.28515625" hidden="1" customWidth="1"/>
    <col min="6" max="14" width="3.28515625" customWidth="1"/>
    <col min="15" max="15" width="3.28515625" hidden="1" customWidth="1"/>
    <col min="16" max="16" width="3.28515625" style="4" customWidth="1"/>
    <col min="17" max="17" width="31.28515625" style="4" customWidth="1"/>
    <col min="18" max="18" width="13.85546875" style="4" bestFit="1" customWidth="1"/>
    <col min="19" max="20" width="9.5703125" bestFit="1" customWidth="1"/>
    <col min="21" max="21" width="12.85546875" bestFit="1" customWidth="1"/>
    <col min="22" max="22" width="5" bestFit="1" customWidth="1"/>
    <col min="23" max="23" width="6.28515625" style="4" customWidth="1"/>
    <col min="24" max="24" width="6.42578125" customWidth="1"/>
    <col min="48" max="48" width="6.42578125" customWidth="1"/>
    <col min="695" max="695" width="4.42578125" customWidth="1"/>
    <col min="699" max="699" width="4.42578125" customWidth="1"/>
  </cols>
  <sheetData>
    <row r="1" spans="1:699" s="3" customFormat="1" ht="18" customHeight="1" thickBot="1" x14ac:dyDescent="0.35">
      <c r="A1" s="17"/>
      <c r="B1" s="116" t="s">
        <v>9</v>
      </c>
      <c r="C1" s="116"/>
      <c r="D1" s="116"/>
      <c r="E1" s="99" t="s">
        <v>58</v>
      </c>
      <c r="F1" s="63"/>
      <c r="G1" s="63"/>
      <c r="H1" s="63"/>
      <c r="I1" s="63"/>
      <c r="J1" s="63"/>
      <c r="K1" s="63"/>
      <c r="L1" s="63"/>
      <c r="M1" s="63"/>
      <c r="N1" s="63"/>
      <c r="O1" s="99" t="s">
        <v>58</v>
      </c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  <c r="MF1" s="4"/>
      <c r="MG1" s="4"/>
      <c r="MH1" s="4"/>
      <c r="MI1" s="4"/>
      <c r="MJ1" s="4"/>
      <c r="MK1" s="4"/>
      <c r="ML1" s="4"/>
      <c r="MM1" s="4"/>
      <c r="MN1" s="4"/>
      <c r="MO1" s="4"/>
      <c r="MP1" s="4"/>
      <c r="MQ1" s="4"/>
      <c r="MR1" s="4"/>
      <c r="MS1" s="4"/>
      <c r="MT1" s="4"/>
      <c r="MU1" s="4"/>
      <c r="MV1" s="4"/>
      <c r="MW1" s="4"/>
      <c r="MX1" s="4"/>
      <c r="MY1" s="4"/>
      <c r="MZ1" s="4"/>
      <c r="NA1" s="4"/>
      <c r="NB1" s="4"/>
      <c r="NC1" s="4"/>
      <c r="ND1" s="4"/>
      <c r="NE1" s="4"/>
      <c r="NF1" s="4"/>
      <c r="NG1" s="4"/>
      <c r="NH1" s="4"/>
      <c r="NI1" s="4"/>
      <c r="NJ1" s="4"/>
      <c r="NK1" s="4"/>
      <c r="NL1" s="4"/>
      <c r="NM1" s="4"/>
      <c r="NN1" s="4"/>
      <c r="NO1" s="4"/>
      <c r="NP1" s="4"/>
      <c r="NQ1" s="4"/>
      <c r="NR1" s="4"/>
      <c r="NS1" s="4"/>
      <c r="NT1" s="4"/>
      <c r="NU1" s="4"/>
      <c r="NV1" s="4"/>
      <c r="NW1" s="4"/>
      <c r="NX1" s="4"/>
      <c r="NY1" s="4"/>
      <c r="NZ1" s="4"/>
      <c r="OA1" s="4"/>
      <c r="OB1" s="4"/>
      <c r="OC1" s="4"/>
      <c r="OD1" s="4"/>
      <c r="OE1" s="4"/>
      <c r="OF1" s="4"/>
      <c r="OG1" s="4"/>
      <c r="OH1" s="4"/>
      <c r="OI1" s="4"/>
      <c r="OJ1" s="4"/>
      <c r="OK1" s="4"/>
      <c r="OL1" s="4"/>
      <c r="OM1" s="4"/>
      <c r="ON1" s="4"/>
      <c r="OO1" s="4"/>
      <c r="OP1" s="4"/>
      <c r="OQ1" s="4"/>
      <c r="OR1" s="4"/>
      <c r="OS1" s="4"/>
      <c r="OT1" s="4"/>
      <c r="OU1" s="4"/>
      <c r="OV1" s="4"/>
      <c r="OW1" s="4"/>
      <c r="OX1" s="4"/>
      <c r="OY1" s="4"/>
      <c r="OZ1" s="4"/>
      <c r="PA1" s="4"/>
      <c r="PB1" s="4"/>
      <c r="PC1" s="4"/>
      <c r="PD1" s="4"/>
      <c r="PE1" s="4"/>
      <c r="PF1" s="4"/>
      <c r="PG1" s="4"/>
      <c r="PH1" s="4"/>
      <c r="PI1" s="4"/>
      <c r="PJ1" s="4"/>
      <c r="PK1" s="4"/>
      <c r="PL1" s="4"/>
      <c r="PM1" s="4"/>
      <c r="PN1" s="4"/>
      <c r="PO1" s="4"/>
      <c r="PP1" s="4"/>
      <c r="PQ1" s="4"/>
      <c r="PR1" s="4"/>
      <c r="PS1" s="4"/>
      <c r="PT1" s="4"/>
      <c r="PU1" s="4"/>
      <c r="PV1" s="4"/>
      <c r="PW1" s="4"/>
      <c r="PX1" s="4"/>
      <c r="PY1" s="4"/>
      <c r="PZ1" s="4"/>
      <c r="QA1" s="4"/>
      <c r="QB1" s="4"/>
      <c r="QC1" s="4"/>
      <c r="QD1" s="4"/>
      <c r="QE1" s="4"/>
      <c r="QF1" s="4"/>
      <c r="QG1" s="4"/>
      <c r="QH1" s="4"/>
      <c r="QI1" s="4"/>
      <c r="QJ1" s="4"/>
      <c r="QK1" s="4"/>
      <c r="QL1" s="4"/>
      <c r="QM1" s="4"/>
      <c r="QN1" s="4"/>
      <c r="QO1" s="4"/>
      <c r="QP1" s="4"/>
      <c r="QQ1" s="4"/>
      <c r="QR1" s="4"/>
      <c r="QS1" s="4"/>
      <c r="QT1" s="4"/>
      <c r="QU1" s="4"/>
      <c r="QV1" s="4"/>
      <c r="QW1" s="4"/>
      <c r="QX1" s="4"/>
      <c r="QY1" s="4"/>
      <c r="QZ1" s="4"/>
      <c r="RA1" s="4"/>
      <c r="RB1" s="4"/>
      <c r="RC1" s="4"/>
      <c r="RD1" s="4"/>
      <c r="RE1" s="4"/>
      <c r="RF1" s="4"/>
      <c r="RG1" s="4"/>
      <c r="RH1" s="4"/>
      <c r="RI1" s="4"/>
      <c r="RJ1" s="4"/>
      <c r="RK1" s="4"/>
      <c r="RL1" s="4"/>
      <c r="RM1" s="4"/>
      <c r="RN1" s="4"/>
      <c r="RO1" s="4"/>
      <c r="RP1" s="4"/>
      <c r="RQ1" s="4"/>
      <c r="RR1" s="4"/>
      <c r="RS1" s="4"/>
      <c r="RT1" s="4"/>
      <c r="RU1" s="4"/>
      <c r="RV1" s="4"/>
      <c r="RW1" s="4"/>
      <c r="RX1" s="4"/>
      <c r="RY1" s="4"/>
      <c r="RZ1" s="4"/>
      <c r="SA1" s="4"/>
      <c r="SB1" s="4"/>
      <c r="SC1" s="4"/>
      <c r="SD1" s="4"/>
      <c r="SE1" s="4"/>
      <c r="SF1" s="4"/>
      <c r="SG1" s="4"/>
      <c r="SH1" s="4"/>
      <c r="SI1" s="4"/>
      <c r="SJ1" s="4"/>
      <c r="SK1" s="4"/>
      <c r="SL1" s="4"/>
      <c r="SM1" s="4"/>
      <c r="SN1" s="4"/>
      <c r="SO1" s="4"/>
      <c r="SP1" s="4"/>
      <c r="SQ1" s="4"/>
      <c r="SR1" s="4"/>
      <c r="SS1" s="4"/>
      <c r="ST1" s="4"/>
      <c r="SU1" s="4"/>
      <c r="SV1" s="4"/>
      <c r="SW1" s="4"/>
      <c r="SX1" s="4"/>
      <c r="SY1" s="4"/>
      <c r="SZ1" s="4"/>
      <c r="TA1" s="4"/>
      <c r="TB1" s="4"/>
      <c r="TC1" s="4"/>
      <c r="TD1" s="4"/>
      <c r="TE1" s="4"/>
      <c r="TF1" s="4"/>
      <c r="TG1" s="4"/>
      <c r="TH1" s="4"/>
      <c r="TI1" s="4"/>
      <c r="TJ1" s="4"/>
      <c r="TK1" s="4"/>
      <c r="TL1" s="4"/>
      <c r="TM1" s="4"/>
      <c r="TN1" s="4"/>
      <c r="TO1" s="4"/>
      <c r="TP1" s="4"/>
      <c r="TQ1" s="4"/>
      <c r="TR1" s="4"/>
      <c r="TS1" s="4"/>
      <c r="TT1" s="4"/>
      <c r="TU1" s="4"/>
      <c r="TV1" s="4"/>
      <c r="TW1" s="4"/>
      <c r="TX1" s="4"/>
      <c r="TY1" s="4"/>
      <c r="TZ1" s="4"/>
      <c r="UA1" s="4"/>
      <c r="UB1" s="4"/>
      <c r="UC1" s="4"/>
      <c r="UD1" s="4"/>
      <c r="UE1" s="4"/>
      <c r="UF1" s="4"/>
      <c r="UG1" s="4"/>
      <c r="UH1" s="4"/>
      <c r="UI1" s="4"/>
      <c r="UJ1" s="4"/>
      <c r="UK1" s="4"/>
      <c r="UL1" s="4"/>
      <c r="UM1" s="4"/>
      <c r="UN1" s="4"/>
      <c r="UO1" s="4"/>
      <c r="UP1" s="4"/>
      <c r="UQ1" s="4"/>
      <c r="UR1" s="4"/>
      <c r="US1" s="4"/>
      <c r="UT1" s="4"/>
      <c r="UU1" s="4"/>
      <c r="UV1" s="4"/>
      <c r="UW1" s="4"/>
      <c r="UX1" s="4"/>
      <c r="UY1" s="4"/>
      <c r="UZ1" s="4"/>
      <c r="VA1" s="4"/>
      <c r="VB1" s="4"/>
      <c r="VC1" s="4"/>
      <c r="VD1" s="4"/>
      <c r="VE1" s="4"/>
      <c r="VF1" s="4"/>
      <c r="VG1" s="4"/>
      <c r="VH1" s="4"/>
      <c r="VI1" s="4"/>
      <c r="VJ1" s="4"/>
      <c r="VK1" s="4"/>
      <c r="VL1" s="4"/>
      <c r="VM1" s="4"/>
      <c r="VN1" s="4"/>
      <c r="VO1" s="4"/>
      <c r="VP1" s="4"/>
      <c r="VQ1" s="4"/>
      <c r="VR1" s="4"/>
      <c r="VS1" s="4"/>
      <c r="VT1" s="4"/>
      <c r="VU1" s="4"/>
      <c r="VV1" s="4"/>
      <c r="VW1" s="4"/>
      <c r="VX1" s="4"/>
      <c r="VY1" s="4"/>
      <c r="VZ1" s="4"/>
      <c r="WA1" s="4"/>
      <c r="WB1" s="4"/>
      <c r="WC1" s="4"/>
      <c r="WD1" s="4"/>
      <c r="WE1" s="4"/>
      <c r="WF1" s="4"/>
      <c r="WG1" s="4"/>
      <c r="WH1" s="4"/>
      <c r="WI1" s="4"/>
      <c r="WJ1" s="4"/>
      <c r="WK1" s="4"/>
      <c r="WL1" s="4"/>
      <c r="WM1" s="4"/>
      <c r="WN1" s="4"/>
      <c r="WO1" s="4"/>
      <c r="WP1" s="4"/>
      <c r="WQ1" s="4"/>
      <c r="WR1" s="4"/>
      <c r="WS1" s="4"/>
      <c r="WT1" s="4"/>
      <c r="WU1" s="4"/>
      <c r="WV1" s="4"/>
      <c r="WW1" s="4"/>
      <c r="WX1" s="4"/>
      <c r="WY1" s="4"/>
      <c r="WZ1" s="4"/>
      <c r="XA1" s="4"/>
      <c r="XB1" s="4"/>
      <c r="XC1" s="4"/>
      <c r="XD1" s="4"/>
      <c r="XE1" s="4"/>
      <c r="XF1" s="4"/>
      <c r="XG1" s="4"/>
      <c r="XH1" s="4"/>
      <c r="XI1" s="4"/>
      <c r="XJ1" s="4"/>
      <c r="XK1" s="4"/>
      <c r="XL1" s="4"/>
      <c r="XM1" s="4"/>
      <c r="XN1" s="4"/>
      <c r="XO1" s="4"/>
      <c r="XP1" s="4"/>
      <c r="XQ1" s="4"/>
      <c r="XR1" s="4"/>
      <c r="XS1" s="4"/>
      <c r="XT1" s="4"/>
      <c r="XU1" s="4"/>
      <c r="XV1" s="4"/>
      <c r="XW1" s="4"/>
      <c r="XX1" s="4"/>
      <c r="XY1" s="4"/>
      <c r="XZ1" s="4"/>
      <c r="YA1" s="4"/>
      <c r="YB1" s="4"/>
      <c r="YC1" s="4"/>
      <c r="YD1" s="4"/>
      <c r="YE1" s="4"/>
      <c r="YF1" s="4"/>
      <c r="YG1" s="4"/>
      <c r="YH1" s="4"/>
      <c r="YI1" s="4"/>
      <c r="YJ1" s="4"/>
      <c r="YK1" s="4"/>
      <c r="YL1" s="4"/>
      <c r="YM1" s="4"/>
      <c r="YN1" s="4"/>
      <c r="YO1" s="4"/>
      <c r="YP1" s="4"/>
      <c r="YQ1" s="4"/>
      <c r="YR1" s="4"/>
      <c r="YS1" s="4"/>
      <c r="YT1" s="4"/>
      <c r="YU1" s="4"/>
      <c r="YV1" s="4"/>
      <c r="YW1" s="4"/>
      <c r="YX1" s="4"/>
      <c r="YY1" s="4"/>
      <c r="YZ1" s="4"/>
      <c r="ZA1" s="4"/>
      <c r="ZB1" s="4"/>
      <c r="ZC1" s="4"/>
      <c r="ZD1" s="4"/>
      <c r="ZE1" s="4"/>
      <c r="ZF1" s="4"/>
      <c r="ZG1" s="4"/>
      <c r="ZH1" s="4"/>
      <c r="ZI1" s="4"/>
      <c r="ZJ1" s="4"/>
      <c r="ZK1" s="4"/>
      <c r="ZL1" s="4"/>
      <c r="ZM1" s="4"/>
      <c r="ZN1" s="4"/>
      <c r="ZO1" s="4"/>
      <c r="ZP1" s="4"/>
      <c r="ZQ1" s="4"/>
      <c r="ZR1" s="4"/>
      <c r="ZS1" s="6"/>
      <c r="ZT1" s="4"/>
      <c r="ZU1" s="4"/>
      <c r="ZV1" s="4"/>
      <c r="ZW1" s="6"/>
    </row>
    <row r="2" spans="1:699" s="3" customFormat="1" x14ac:dyDescent="0.2">
      <c r="A2" s="17"/>
      <c r="B2" s="20" t="s">
        <v>1</v>
      </c>
      <c r="C2" s="21"/>
      <c r="D2" s="22"/>
      <c r="E2" s="99"/>
      <c r="F2" s="63"/>
      <c r="G2" s="63"/>
      <c r="H2" s="63"/>
      <c r="I2" s="63"/>
      <c r="J2" s="63"/>
      <c r="K2" s="63"/>
      <c r="L2" s="63"/>
      <c r="M2" s="63"/>
      <c r="N2" s="63"/>
      <c r="O2" s="99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9"/>
      <c r="ZT2" s="4"/>
      <c r="ZU2" s="4"/>
      <c r="ZV2" s="4"/>
      <c r="ZW2" s="9"/>
    </row>
    <row r="3" spans="1:699" s="3" customFormat="1" ht="13.15" customHeight="1" x14ac:dyDescent="0.2">
      <c r="A3" s="17"/>
      <c r="B3" s="23" t="s">
        <v>10</v>
      </c>
      <c r="C3" s="24"/>
      <c r="D3" s="25"/>
      <c r="E3" s="99"/>
      <c r="F3" s="63"/>
      <c r="G3" s="63"/>
      <c r="H3" s="63"/>
      <c r="I3" s="63"/>
      <c r="J3" s="63"/>
      <c r="K3" s="63"/>
      <c r="L3" s="63"/>
      <c r="M3" s="63"/>
      <c r="N3" s="63"/>
      <c r="O3" s="99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13"/>
      <c r="ZT3" s="4"/>
      <c r="ZU3" s="4"/>
      <c r="ZV3" s="4"/>
      <c r="ZW3" s="13"/>
    </row>
    <row r="4" spans="1:699" s="3" customFormat="1" ht="13.15" customHeight="1" x14ac:dyDescent="0.2">
      <c r="A4" s="17"/>
      <c r="B4" s="23" t="s">
        <v>70</v>
      </c>
      <c r="C4" s="24"/>
      <c r="D4" s="25"/>
      <c r="E4" s="99"/>
      <c r="F4" s="63"/>
      <c r="G4" s="63"/>
      <c r="H4" s="63"/>
      <c r="I4" s="63"/>
      <c r="J4" s="63"/>
      <c r="K4" s="63"/>
      <c r="L4" s="63"/>
      <c r="M4" s="63"/>
      <c r="N4" s="63"/>
      <c r="O4" s="99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13"/>
      <c r="ZT4" s="4"/>
      <c r="ZU4" s="4"/>
      <c r="ZV4" s="4"/>
      <c r="ZW4" s="13"/>
    </row>
    <row r="5" spans="1:699" s="3" customFormat="1" ht="13.9" customHeight="1" thickBot="1" x14ac:dyDescent="0.25">
      <c r="A5" s="17"/>
      <c r="B5" s="86" t="s">
        <v>71</v>
      </c>
      <c r="C5" s="26"/>
      <c r="D5" s="27"/>
      <c r="E5" s="99"/>
      <c r="F5" s="63"/>
      <c r="G5" s="63"/>
      <c r="H5" s="63"/>
      <c r="I5" s="63"/>
      <c r="J5" s="63"/>
      <c r="K5" s="63"/>
      <c r="L5" s="63"/>
      <c r="M5" s="63"/>
      <c r="N5" s="63"/>
      <c r="O5" s="99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13"/>
      <c r="ZT5" s="4"/>
      <c r="ZU5" s="4"/>
      <c r="ZV5" s="4"/>
      <c r="ZW5" s="13"/>
    </row>
    <row r="6" spans="1:699" s="3" customFormat="1" x14ac:dyDescent="0.2">
      <c r="A6" s="17"/>
      <c r="B6" s="12"/>
      <c r="C6" s="4"/>
      <c r="D6" s="9"/>
      <c r="E6" s="99"/>
      <c r="F6" s="63"/>
      <c r="G6" s="63"/>
      <c r="H6" s="63"/>
      <c r="I6" s="63"/>
      <c r="J6" s="63"/>
      <c r="K6" s="63"/>
      <c r="L6" s="63"/>
      <c r="M6" s="63"/>
      <c r="N6" s="63"/>
      <c r="O6" s="99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13"/>
      <c r="ZT6" s="4"/>
      <c r="ZU6" s="4"/>
      <c r="ZV6" s="4"/>
      <c r="ZW6" s="13"/>
    </row>
    <row r="7" spans="1:699" s="3" customFormat="1" ht="34.15" customHeight="1" thickBot="1" x14ac:dyDescent="0.25">
      <c r="A7" s="17"/>
      <c r="B7" s="12"/>
      <c r="C7" s="4"/>
      <c r="D7" s="9"/>
      <c r="E7" s="100"/>
      <c r="F7" s="64"/>
      <c r="G7" s="64"/>
      <c r="H7" s="64"/>
      <c r="I7" s="64"/>
      <c r="J7" s="64"/>
      <c r="K7" s="64"/>
      <c r="L7" s="64"/>
      <c r="M7" s="64"/>
      <c r="N7" s="64"/>
      <c r="O7" s="100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  <c r="MF7" s="4"/>
      <c r="MG7" s="4"/>
      <c r="MH7" s="4"/>
      <c r="MI7" s="4"/>
      <c r="MJ7" s="4"/>
      <c r="MK7" s="4"/>
      <c r="ML7" s="4"/>
      <c r="MM7" s="4"/>
      <c r="MN7" s="4"/>
      <c r="MO7" s="4"/>
      <c r="MP7" s="4"/>
      <c r="MQ7" s="4"/>
      <c r="MR7" s="4"/>
      <c r="MS7" s="4"/>
      <c r="MT7" s="4"/>
      <c r="MU7" s="4"/>
      <c r="MV7" s="4"/>
      <c r="MW7" s="4"/>
      <c r="MX7" s="4"/>
      <c r="MY7" s="4"/>
      <c r="MZ7" s="4"/>
      <c r="NA7" s="4"/>
      <c r="NB7" s="4"/>
      <c r="NC7" s="4"/>
      <c r="ND7" s="4"/>
      <c r="NE7" s="4"/>
      <c r="NF7" s="4"/>
      <c r="NG7" s="4"/>
      <c r="NH7" s="4"/>
      <c r="NI7" s="4"/>
      <c r="NJ7" s="4"/>
      <c r="NK7" s="4"/>
      <c r="NL7" s="4"/>
      <c r="NM7" s="4"/>
      <c r="NN7" s="4"/>
      <c r="NO7" s="4"/>
      <c r="NP7" s="4"/>
      <c r="NQ7" s="4"/>
      <c r="NR7" s="4"/>
      <c r="NS7" s="4"/>
      <c r="NT7" s="4"/>
      <c r="NU7" s="4"/>
      <c r="NV7" s="4"/>
      <c r="NW7" s="4"/>
      <c r="NX7" s="4"/>
      <c r="NY7" s="4"/>
      <c r="NZ7" s="4"/>
      <c r="OA7" s="4"/>
      <c r="OB7" s="4"/>
      <c r="OC7" s="4"/>
      <c r="OD7" s="4"/>
      <c r="OE7" s="4"/>
      <c r="OF7" s="4"/>
      <c r="OG7" s="4"/>
      <c r="OH7" s="4"/>
      <c r="OI7" s="4"/>
      <c r="OJ7" s="4"/>
      <c r="OK7" s="4"/>
      <c r="OL7" s="4"/>
      <c r="OM7" s="4"/>
      <c r="ON7" s="4"/>
      <c r="OO7" s="4"/>
      <c r="OP7" s="4"/>
      <c r="OQ7" s="4"/>
      <c r="OR7" s="4"/>
      <c r="OS7" s="4"/>
      <c r="OT7" s="4"/>
      <c r="OU7" s="4"/>
      <c r="OV7" s="4"/>
      <c r="OW7" s="4"/>
      <c r="OX7" s="4"/>
      <c r="OY7" s="4"/>
      <c r="OZ7" s="4"/>
      <c r="PA7" s="4"/>
      <c r="PB7" s="4"/>
      <c r="PC7" s="4"/>
      <c r="PD7" s="4"/>
      <c r="PE7" s="4"/>
      <c r="PF7" s="4"/>
      <c r="PG7" s="4"/>
      <c r="PH7" s="4"/>
      <c r="PI7" s="4"/>
      <c r="PJ7" s="4"/>
      <c r="PK7" s="4"/>
      <c r="PL7" s="4"/>
      <c r="PM7" s="4"/>
      <c r="PN7" s="4"/>
      <c r="PO7" s="4"/>
      <c r="PP7" s="4"/>
      <c r="PQ7" s="4"/>
      <c r="PR7" s="4"/>
      <c r="PS7" s="4"/>
      <c r="PT7" s="4"/>
      <c r="PU7" s="4"/>
      <c r="PV7" s="4"/>
      <c r="PW7" s="4"/>
      <c r="PX7" s="4"/>
      <c r="PY7" s="4"/>
      <c r="PZ7" s="4"/>
      <c r="QA7" s="4"/>
      <c r="QB7" s="4"/>
      <c r="QC7" s="4"/>
      <c r="QD7" s="4"/>
      <c r="QE7" s="4"/>
      <c r="QF7" s="4"/>
      <c r="QG7" s="4"/>
      <c r="QH7" s="4"/>
      <c r="QI7" s="4"/>
      <c r="QJ7" s="4"/>
      <c r="QK7" s="4"/>
      <c r="QL7" s="4"/>
      <c r="QM7" s="4"/>
      <c r="QN7" s="4"/>
      <c r="QO7" s="4"/>
      <c r="QP7" s="4"/>
      <c r="QQ7" s="4"/>
      <c r="QR7" s="4"/>
      <c r="QS7" s="4"/>
      <c r="QT7" s="4"/>
      <c r="QU7" s="4"/>
      <c r="QV7" s="4"/>
      <c r="QW7" s="4"/>
      <c r="QX7" s="4"/>
      <c r="QY7" s="4"/>
      <c r="QZ7" s="4"/>
      <c r="RA7" s="4"/>
      <c r="RB7" s="4"/>
      <c r="RC7" s="4"/>
      <c r="RD7" s="4"/>
      <c r="RE7" s="4"/>
      <c r="RF7" s="4"/>
      <c r="RG7" s="4"/>
      <c r="RH7" s="4"/>
      <c r="RI7" s="4"/>
      <c r="RJ7" s="4"/>
      <c r="RK7" s="4"/>
      <c r="RL7" s="4"/>
      <c r="RM7" s="4"/>
      <c r="RN7" s="4"/>
      <c r="RO7" s="4"/>
      <c r="RP7" s="4"/>
      <c r="RQ7" s="4"/>
      <c r="RR7" s="4"/>
      <c r="RS7" s="4"/>
      <c r="RT7" s="4"/>
      <c r="RU7" s="4"/>
      <c r="RV7" s="4"/>
      <c r="RW7" s="4"/>
      <c r="RX7" s="4"/>
      <c r="RY7" s="4"/>
      <c r="RZ7" s="4"/>
      <c r="SA7" s="4"/>
      <c r="SB7" s="4"/>
      <c r="SC7" s="4"/>
      <c r="SD7" s="4"/>
      <c r="SE7" s="4"/>
      <c r="SF7" s="4"/>
      <c r="SG7" s="4"/>
      <c r="SH7" s="4"/>
      <c r="SI7" s="4"/>
      <c r="SJ7" s="4"/>
      <c r="SK7" s="4"/>
      <c r="SL7" s="4"/>
      <c r="SM7" s="4"/>
      <c r="SN7" s="4"/>
      <c r="SO7" s="4"/>
      <c r="SP7" s="4"/>
      <c r="SQ7" s="4"/>
      <c r="SR7" s="4"/>
      <c r="SS7" s="4"/>
      <c r="ST7" s="4"/>
      <c r="SU7" s="4"/>
      <c r="SV7" s="4"/>
      <c r="SW7" s="4"/>
      <c r="SX7" s="4"/>
      <c r="SY7" s="4"/>
      <c r="SZ7" s="4"/>
      <c r="TA7" s="4"/>
      <c r="TB7" s="4"/>
      <c r="TC7" s="4"/>
      <c r="TD7" s="4"/>
      <c r="TE7" s="4"/>
      <c r="TF7" s="4"/>
      <c r="TG7" s="4"/>
      <c r="TH7" s="4"/>
      <c r="TI7" s="4"/>
      <c r="TJ7" s="4"/>
      <c r="TK7" s="4"/>
      <c r="TL7" s="4"/>
      <c r="TM7" s="4"/>
      <c r="TN7" s="4"/>
      <c r="TO7" s="4"/>
      <c r="TP7" s="4"/>
      <c r="TQ7" s="4"/>
      <c r="TR7" s="4"/>
      <c r="TS7" s="4"/>
      <c r="TT7" s="4"/>
      <c r="TU7" s="4"/>
      <c r="TV7" s="4"/>
      <c r="TW7" s="4"/>
      <c r="TX7" s="4"/>
      <c r="TY7" s="4"/>
      <c r="TZ7" s="4"/>
      <c r="UA7" s="4"/>
      <c r="UB7" s="4"/>
      <c r="UC7" s="4"/>
      <c r="UD7" s="4"/>
      <c r="UE7" s="4"/>
      <c r="UF7" s="4"/>
      <c r="UG7" s="4"/>
      <c r="UH7" s="4"/>
      <c r="UI7" s="4"/>
      <c r="UJ7" s="4"/>
      <c r="UK7" s="4"/>
      <c r="UL7" s="4"/>
      <c r="UM7" s="4"/>
      <c r="UN7" s="4"/>
      <c r="UO7" s="4"/>
      <c r="UP7" s="4"/>
      <c r="UQ7" s="4"/>
      <c r="UR7" s="4"/>
      <c r="US7" s="4"/>
      <c r="UT7" s="4"/>
      <c r="UU7" s="4"/>
      <c r="UV7" s="4"/>
      <c r="UW7" s="4"/>
      <c r="UX7" s="4"/>
      <c r="UY7" s="4"/>
      <c r="UZ7" s="4"/>
      <c r="VA7" s="4"/>
      <c r="VB7" s="4"/>
      <c r="VC7" s="4"/>
      <c r="VD7" s="4"/>
      <c r="VE7" s="4"/>
      <c r="VF7" s="4"/>
      <c r="VG7" s="4"/>
      <c r="VH7" s="4"/>
      <c r="VI7" s="4"/>
      <c r="VJ7" s="4"/>
      <c r="VK7" s="4"/>
      <c r="VL7" s="4"/>
      <c r="VM7" s="4"/>
      <c r="VN7" s="4"/>
      <c r="VO7" s="4"/>
      <c r="VP7" s="4"/>
      <c r="VQ7" s="4"/>
      <c r="VR7" s="4"/>
      <c r="VS7" s="4"/>
      <c r="VT7" s="4"/>
      <c r="VU7" s="4"/>
      <c r="VV7" s="4"/>
      <c r="VW7" s="4"/>
      <c r="VX7" s="4"/>
      <c r="VY7" s="4"/>
      <c r="VZ7" s="4"/>
      <c r="WA7" s="4"/>
      <c r="WB7" s="4"/>
      <c r="WC7" s="4"/>
      <c r="WD7" s="4"/>
      <c r="WE7" s="4"/>
      <c r="WF7" s="4"/>
      <c r="WG7" s="4"/>
      <c r="WH7" s="4"/>
      <c r="WI7" s="4"/>
      <c r="WJ7" s="4"/>
      <c r="WK7" s="4"/>
      <c r="WL7" s="4"/>
      <c r="WM7" s="4"/>
      <c r="WN7" s="4"/>
      <c r="WO7" s="4"/>
      <c r="WP7" s="4"/>
      <c r="WQ7" s="4"/>
      <c r="WR7" s="4"/>
      <c r="WS7" s="4"/>
      <c r="WT7" s="4"/>
      <c r="WU7" s="4"/>
      <c r="WV7" s="4"/>
      <c r="WW7" s="4"/>
      <c r="WX7" s="4"/>
      <c r="WY7" s="4"/>
      <c r="WZ7" s="4"/>
      <c r="XA7" s="4"/>
      <c r="XB7" s="4"/>
      <c r="XC7" s="4"/>
      <c r="XD7" s="4"/>
      <c r="XE7" s="4"/>
      <c r="XF7" s="4"/>
      <c r="XG7" s="4"/>
      <c r="XH7" s="4"/>
      <c r="XI7" s="4"/>
      <c r="XJ7" s="4"/>
      <c r="XK7" s="4"/>
      <c r="XL7" s="4"/>
      <c r="XM7" s="4"/>
      <c r="XN7" s="4"/>
      <c r="XO7" s="4"/>
      <c r="XP7" s="4"/>
      <c r="XQ7" s="4"/>
      <c r="XR7" s="4"/>
      <c r="XS7" s="4"/>
      <c r="XT7" s="4"/>
      <c r="XU7" s="4"/>
      <c r="XV7" s="4"/>
      <c r="XW7" s="4"/>
      <c r="XX7" s="4"/>
      <c r="XY7" s="4"/>
      <c r="XZ7" s="4"/>
      <c r="YA7" s="4"/>
      <c r="YB7" s="4"/>
      <c r="YC7" s="4"/>
      <c r="YD7" s="4"/>
      <c r="YE7" s="4"/>
      <c r="YF7" s="4"/>
      <c r="YG7" s="4"/>
      <c r="YH7" s="4"/>
      <c r="YI7" s="4"/>
      <c r="YJ7" s="4"/>
      <c r="YK7" s="4"/>
      <c r="YL7" s="4"/>
      <c r="YM7" s="4"/>
      <c r="YN7" s="4"/>
      <c r="YO7" s="4"/>
      <c r="YP7" s="4"/>
      <c r="YQ7" s="4"/>
      <c r="YR7" s="4"/>
      <c r="YS7" s="4"/>
      <c r="YT7" s="4"/>
      <c r="YU7" s="4"/>
      <c r="YV7" s="4"/>
      <c r="YW7" s="4"/>
      <c r="YX7" s="4"/>
      <c r="YY7" s="4"/>
      <c r="YZ7" s="4"/>
      <c r="ZA7" s="4"/>
      <c r="ZB7" s="4"/>
      <c r="ZC7" s="4"/>
      <c r="ZD7" s="4"/>
      <c r="ZE7" s="4"/>
      <c r="ZF7" s="4"/>
      <c r="ZG7" s="4"/>
      <c r="ZH7" s="4"/>
      <c r="ZI7" s="4"/>
      <c r="ZJ7" s="4"/>
      <c r="ZK7" s="4"/>
      <c r="ZL7" s="4"/>
      <c r="ZM7" s="4"/>
      <c r="ZN7" s="4"/>
      <c r="ZO7" s="4"/>
      <c r="ZP7" s="4"/>
      <c r="ZQ7" s="4"/>
      <c r="ZR7" s="4"/>
      <c r="ZS7" s="13"/>
      <c r="ZT7" s="4"/>
      <c r="ZU7" s="4"/>
      <c r="ZV7" s="4"/>
      <c r="ZW7" s="13"/>
    </row>
    <row r="8" spans="1:699" ht="149.25" thickBot="1" x14ac:dyDescent="0.25">
      <c r="A8" s="16"/>
      <c r="B8" s="1" t="s">
        <v>29</v>
      </c>
      <c r="C8" s="1" t="s">
        <v>11</v>
      </c>
      <c r="D8" s="1" t="s">
        <v>12</v>
      </c>
      <c r="E8" s="71" t="s">
        <v>47</v>
      </c>
      <c r="F8" s="81" t="s">
        <v>66</v>
      </c>
      <c r="G8" s="54" t="s">
        <v>39</v>
      </c>
      <c r="H8" s="55" t="s">
        <v>36</v>
      </c>
      <c r="I8" s="55" t="s">
        <v>34</v>
      </c>
      <c r="J8" s="56" t="s">
        <v>42</v>
      </c>
      <c r="K8" s="56" t="s">
        <v>44</v>
      </c>
      <c r="L8" s="58" t="s">
        <v>53</v>
      </c>
      <c r="M8" s="58" t="s">
        <v>64</v>
      </c>
      <c r="N8" s="58" t="s">
        <v>56</v>
      </c>
      <c r="O8" s="71" t="s">
        <v>46</v>
      </c>
      <c r="P8" s="19"/>
      <c r="Q8" s="19" t="s">
        <v>3</v>
      </c>
      <c r="R8" s="28"/>
      <c r="W8" s="28"/>
      <c r="ZS8" s="35" t="s">
        <v>6</v>
      </c>
      <c r="ZW8" s="35" t="s">
        <v>7</v>
      </c>
    </row>
    <row r="9" spans="1:699" s="3" customFormat="1" ht="33.75" thickBot="1" x14ac:dyDescent="0.25">
      <c r="A9" s="4"/>
      <c r="B9" s="69"/>
      <c r="C9" s="69"/>
      <c r="D9" s="69"/>
      <c r="E9" s="1"/>
      <c r="F9" s="82" t="s">
        <v>67</v>
      </c>
      <c r="G9" s="66" t="s">
        <v>38</v>
      </c>
      <c r="H9" s="67" t="s">
        <v>35</v>
      </c>
      <c r="I9" s="67" t="s">
        <v>33</v>
      </c>
      <c r="J9" s="76" t="s">
        <v>41</v>
      </c>
      <c r="K9" s="76" t="s">
        <v>43</v>
      </c>
      <c r="L9" s="77" t="s">
        <v>54</v>
      </c>
      <c r="M9" s="77" t="s">
        <v>65</v>
      </c>
      <c r="N9" s="77" t="s">
        <v>57</v>
      </c>
      <c r="O9" s="1"/>
      <c r="P9" s="69"/>
      <c r="Q9" s="69"/>
    </row>
    <row r="10" spans="1:699" ht="13.15" customHeight="1" thickBot="1" x14ac:dyDescent="0.25">
      <c r="B10" s="69"/>
      <c r="C10" s="69"/>
      <c r="D10" s="69"/>
      <c r="E10" s="1"/>
      <c r="F10" s="83" t="s">
        <v>68</v>
      </c>
      <c r="G10" s="68" t="s">
        <v>37</v>
      </c>
      <c r="H10" s="117" t="s">
        <v>32</v>
      </c>
      <c r="I10" s="118"/>
      <c r="J10" s="119" t="s">
        <v>40</v>
      </c>
      <c r="K10" s="120"/>
      <c r="L10" s="121" t="s">
        <v>55</v>
      </c>
      <c r="M10" s="122"/>
      <c r="N10" s="123"/>
      <c r="O10" s="1"/>
      <c r="P10" s="69"/>
      <c r="Q10" s="69"/>
      <c r="ZS10" s="36"/>
      <c r="ZW10" s="36"/>
    </row>
    <row r="11" spans="1:699" x14ac:dyDescent="0.2">
      <c r="P11"/>
      <c r="Q11"/>
    </row>
    <row r="12" spans="1:699" x14ac:dyDescent="0.2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/>
      <c r="Q12"/>
      <c r="ZS12" s="34" t="e">
        <f ca="1">IF(ZS14&lt;=0,"None",IF(ZS14&lt;1.33,"Low",IF(ZS14&lt;2.66,"Med",IF(ZS14&lt;5,"High"))))</f>
        <v>#REF!</v>
      </c>
      <c r="ZW12" s="31" t="e">
        <f ca="1">IF(ZW14&lt;=0,"None",IF(ZW14&lt;1.33,"Low",IF(ZW14&lt;2.66,"Med",IF(ZW14&lt;5,"High"))))</f>
        <v>#REF!</v>
      </c>
    </row>
    <row r="13" spans="1:699" x14ac:dyDescent="0.2">
      <c r="B13" s="4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/>
      <c r="Q13"/>
      <c r="ZS13" s="39" t="e">
        <f ca="1">ZS14</f>
        <v>#REF!</v>
      </c>
      <c r="ZW13" s="38" t="e">
        <f ca="1">ZW14</f>
        <v>#REF!</v>
      </c>
    </row>
    <row r="14" spans="1:699" x14ac:dyDescent="0.2">
      <c r="B14" s="4"/>
      <c r="C14" s="5" t="s">
        <v>13</v>
      </c>
      <c r="D14" s="5"/>
      <c r="E14" s="70"/>
      <c r="F14" s="70"/>
      <c r="G14" s="70">
        <v>4.5</v>
      </c>
      <c r="H14" s="70">
        <v>3.5</v>
      </c>
      <c r="I14" s="70">
        <v>-1</v>
      </c>
      <c r="J14" s="70">
        <v>1.67</v>
      </c>
      <c r="K14" s="70">
        <v>1.33</v>
      </c>
      <c r="L14" s="70">
        <v>0</v>
      </c>
      <c r="M14" s="70">
        <v>-1</v>
      </c>
      <c r="N14" s="70">
        <v>0.5</v>
      </c>
      <c r="O14" s="70"/>
      <c r="P14" s="62" t="s">
        <v>60</v>
      </c>
      <c r="Q14"/>
      <c r="ZS14" s="37" t="e">
        <f ca="1">AVERAGE(OFFSET('Gap Analysis'!#REF!,0,0,COUNTA(ListEmployee_Lastname)))</f>
        <v>#REF!</v>
      </c>
      <c r="ZW14" s="32" t="e">
        <f ca="1">AVERAGE(OFFSET('Gap Analysis'!#REF!,0,0,COUNTA(ListEmployee_Lastname)))</f>
        <v>#REF!</v>
      </c>
    </row>
    <row r="15" spans="1:699" ht="13.15" hidden="1" customHeight="1" x14ac:dyDescent="0.2">
      <c r="A15" s="114" t="s">
        <v>59</v>
      </c>
      <c r="B15" s="115"/>
      <c r="C15" s="59" t="s">
        <v>50</v>
      </c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40"/>
      <c r="Q15" s="40"/>
      <c r="ZS15" s="37"/>
      <c r="ZW15" s="32"/>
    </row>
    <row r="16" spans="1:699" x14ac:dyDescent="0.2">
      <c r="B16" s="30"/>
      <c r="C16" s="30" t="s">
        <v>78</v>
      </c>
      <c r="D16" s="30" t="s">
        <v>30</v>
      </c>
      <c r="E16" s="30"/>
      <c r="F16" s="30"/>
      <c r="G16" s="30">
        <v>5</v>
      </c>
      <c r="H16" s="30">
        <v>4</v>
      </c>
      <c r="I16" s="30"/>
      <c r="J16" s="30">
        <v>2</v>
      </c>
      <c r="K16" s="30">
        <v>2</v>
      </c>
      <c r="L16" s="30"/>
      <c r="M16" s="30">
        <v>-1</v>
      </c>
      <c r="N16" s="30">
        <v>-1</v>
      </c>
      <c r="O16" s="30"/>
      <c r="P16" s="30">
        <v>2.12</v>
      </c>
      <c r="Q16" s="30"/>
    </row>
    <row r="17" spans="2:17" x14ac:dyDescent="0.2">
      <c r="B17" s="30"/>
      <c r="C17" s="30" t="s">
        <v>78</v>
      </c>
      <c r="D17" s="30" t="s">
        <v>31</v>
      </c>
      <c r="E17" s="30"/>
      <c r="F17" s="30"/>
      <c r="G17" s="30"/>
      <c r="H17" s="30"/>
      <c r="I17" s="30">
        <v>-1</v>
      </c>
      <c r="J17" s="30">
        <v>1</v>
      </c>
      <c r="K17" s="30">
        <v>0</v>
      </c>
      <c r="L17" s="30">
        <v>0</v>
      </c>
      <c r="M17" s="30"/>
      <c r="N17" s="30"/>
      <c r="O17" s="30"/>
      <c r="P17" s="30">
        <v>-0.33</v>
      </c>
      <c r="Q17" s="30"/>
    </row>
    <row r="18" spans="2:17" x14ac:dyDescent="0.2">
      <c r="B18" s="30"/>
      <c r="C18" s="30" t="s">
        <v>61</v>
      </c>
      <c r="D18" s="30" t="s">
        <v>30</v>
      </c>
      <c r="E18" s="30"/>
      <c r="F18" s="30"/>
      <c r="G18" s="30">
        <v>4</v>
      </c>
      <c r="H18" s="30">
        <v>3</v>
      </c>
      <c r="I18" s="30"/>
      <c r="J18" s="30">
        <v>2</v>
      </c>
      <c r="K18" s="30">
        <v>2</v>
      </c>
      <c r="L18" s="30"/>
      <c r="M18" s="30">
        <v>-1</v>
      </c>
      <c r="N18" s="30">
        <v>2</v>
      </c>
      <c r="O18" s="30"/>
      <c r="P18" s="30">
        <v>1.89</v>
      </c>
      <c r="Q18" s="30"/>
    </row>
    <row r="19" spans="2:17" x14ac:dyDescent="0.2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</row>
    <row r="20" spans="2:17" x14ac:dyDescent="0.2"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</row>
    <row r="21" spans="2:17" x14ac:dyDescent="0.2"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</row>
    <row r="22" spans="2:17" x14ac:dyDescent="0.2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</row>
    <row r="23" spans="2:17" x14ac:dyDescent="0.2"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</row>
    <row r="24" spans="2:17" x14ac:dyDescent="0.2"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</row>
    <row r="25" spans="2:17" x14ac:dyDescent="0.2"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</row>
    <row r="26" spans="2:17" x14ac:dyDescent="0.2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</row>
    <row r="27" spans="2:17" x14ac:dyDescent="0.2"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</row>
    <row r="28" spans="2:17" x14ac:dyDescent="0.2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</row>
    <row r="29" spans="2:17" x14ac:dyDescent="0.2"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</row>
    <row r="30" spans="2:17" x14ac:dyDescent="0.2">
      <c r="B30" s="30"/>
      <c r="C30" s="30"/>
      <c r="D30" s="30"/>
      <c r="E30" s="3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</row>
    <row r="31" spans="2:17" x14ac:dyDescent="0.2">
      <c r="B31" s="30"/>
      <c r="C31" s="30"/>
      <c r="D31" s="30"/>
      <c r="E31" s="3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</row>
    <row r="32" spans="2:17" x14ac:dyDescent="0.2">
      <c r="B32" s="30"/>
      <c r="C32" s="30"/>
      <c r="D32" s="30"/>
      <c r="E32" s="3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</row>
    <row r="33" spans="2:17" x14ac:dyDescent="0.2">
      <c r="B33" s="30"/>
      <c r="C33" s="30"/>
      <c r="D33" s="30"/>
      <c r="E33" s="3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</row>
    <row r="34" spans="2:17" x14ac:dyDescent="0.2">
      <c r="B34" s="30"/>
      <c r="C34" s="30"/>
      <c r="D34" s="30"/>
      <c r="E34" s="3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</row>
    <row r="35" spans="2:17" x14ac:dyDescent="0.2">
      <c r="B35" s="30"/>
      <c r="C35" s="30"/>
      <c r="D35" s="30"/>
      <c r="E35" s="3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</row>
    <row r="36" spans="2:17" x14ac:dyDescent="0.2"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</row>
    <row r="37" spans="2:17" x14ac:dyDescent="0.2"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</row>
    <row r="38" spans="2:17" x14ac:dyDescent="0.2">
      <c r="B38" s="30"/>
      <c r="C38" s="30"/>
      <c r="D38" s="30"/>
      <c r="E38" s="3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</row>
    <row r="39" spans="2:17" x14ac:dyDescent="0.2">
      <c r="B39" s="30"/>
      <c r="C39" s="30"/>
      <c r="D39" s="30"/>
      <c r="E39" s="3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</row>
    <row r="40" spans="2:17" x14ac:dyDescent="0.2">
      <c r="B40" s="30"/>
      <c r="C40" s="30"/>
      <c r="D40" s="30"/>
      <c r="E40" s="3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</row>
    <row r="41" spans="2:17" x14ac:dyDescent="0.2">
      <c r="B41" s="30"/>
      <c r="C41" s="30"/>
      <c r="D41" s="30"/>
      <c r="E41" s="3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</row>
    <row r="42" spans="2:17" x14ac:dyDescent="0.2"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</row>
    <row r="43" spans="2:17" x14ac:dyDescent="0.2">
      <c r="B43" s="30"/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</row>
    <row r="44" spans="2:17" x14ac:dyDescent="0.2"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</row>
    <row r="45" spans="2:17" x14ac:dyDescent="0.2">
      <c r="B45" s="30"/>
      <c r="C45" s="30"/>
      <c r="D45" s="30"/>
      <c r="E45" s="3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</row>
    <row r="46" spans="2:17" x14ac:dyDescent="0.2">
      <c r="B46" s="30"/>
      <c r="C46" s="30"/>
      <c r="D46" s="30"/>
      <c r="E46" s="3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2:17" x14ac:dyDescent="0.2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</row>
    <row r="48" spans="2:17" x14ac:dyDescent="0.2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</row>
    <row r="49" spans="2:17" x14ac:dyDescent="0.2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</row>
    <row r="50" spans="2:17" x14ac:dyDescent="0.2">
      <c r="B50" s="30"/>
      <c r="C50" s="30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</row>
    <row r="51" spans="2:17" x14ac:dyDescent="0.2">
      <c r="B51" s="30"/>
      <c r="C51" s="30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</row>
    <row r="52" spans="2:17" x14ac:dyDescent="0.2"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</row>
    <row r="53" spans="2:17" x14ac:dyDescent="0.2"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</row>
    <row r="54" spans="2:17" x14ac:dyDescent="0.2"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</row>
    <row r="55" spans="2:17" x14ac:dyDescent="0.2"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</row>
    <row r="56" spans="2:17" x14ac:dyDescent="0.2"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</row>
    <row r="57" spans="2:17" x14ac:dyDescent="0.2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</row>
    <row r="58" spans="2:17" x14ac:dyDescent="0.2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</row>
    <row r="59" spans="2:17" x14ac:dyDescent="0.2"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</row>
    <row r="60" spans="2:17" x14ac:dyDescent="0.2"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</row>
    <row r="61" spans="2:17" x14ac:dyDescent="0.2"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</row>
    <row r="62" spans="2:17" x14ac:dyDescent="0.2"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</row>
    <row r="63" spans="2:17" x14ac:dyDescent="0.2"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</row>
    <row r="64" spans="2:17" x14ac:dyDescent="0.2"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</row>
    <row r="65" spans="2:17" x14ac:dyDescent="0.2"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</row>
    <row r="66" spans="2:17" x14ac:dyDescent="0.2"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</row>
    <row r="67" spans="2:17" x14ac:dyDescent="0.2">
      <c r="B67" s="30"/>
      <c r="C67" s="30"/>
      <c r="D67" s="30"/>
      <c r="E67" s="30"/>
      <c r="F67" s="30"/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</row>
    <row r="68" spans="2:17" x14ac:dyDescent="0.2">
      <c r="B68" s="30"/>
      <c r="C68" s="30"/>
      <c r="D68" s="30"/>
      <c r="E68" s="30"/>
      <c r="F68" s="30"/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</row>
    <row r="69" spans="2:17" x14ac:dyDescent="0.2"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</row>
    <row r="70" spans="2:17" x14ac:dyDescent="0.2">
      <c r="B70" s="30"/>
      <c r="C70" s="30"/>
      <c r="D70" s="30"/>
      <c r="E70" s="30"/>
      <c r="F70" s="30"/>
      <c r="G70" s="30"/>
      <c r="H70" s="30"/>
      <c r="I70" s="30"/>
      <c r="J70" s="30"/>
      <c r="K70" s="30"/>
      <c r="L70" s="30"/>
      <c r="M70" s="30"/>
      <c r="N70" s="30"/>
      <c r="O70" s="30"/>
      <c r="P70" s="30"/>
      <c r="Q70" s="30"/>
    </row>
    <row r="71" spans="2:17" x14ac:dyDescent="0.2">
      <c r="B71" s="30"/>
      <c r="C71" s="30"/>
      <c r="D71" s="30"/>
      <c r="E71" s="30"/>
      <c r="F71" s="30"/>
      <c r="G71" s="30"/>
      <c r="H71" s="30"/>
      <c r="I71" s="30"/>
      <c r="J71" s="30"/>
      <c r="K71" s="30"/>
      <c r="L71" s="30"/>
      <c r="M71" s="30"/>
      <c r="N71" s="30"/>
      <c r="O71" s="30"/>
      <c r="P71" s="30"/>
      <c r="Q71" s="30"/>
    </row>
    <row r="72" spans="2:17" x14ac:dyDescent="0.2">
      <c r="B72" s="30"/>
      <c r="C72" s="30"/>
      <c r="D72" s="30"/>
      <c r="E72" s="30"/>
      <c r="F72" s="30"/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</row>
    <row r="73" spans="2:17" x14ac:dyDescent="0.2"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</row>
    <row r="74" spans="2:17" x14ac:dyDescent="0.2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</row>
    <row r="75" spans="2:17" x14ac:dyDescent="0.2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</row>
    <row r="76" spans="2:17" x14ac:dyDescent="0.2"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</row>
    <row r="77" spans="2:17" x14ac:dyDescent="0.2">
      <c r="B77" s="30"/>
      <c r="C77" s="30"/>
      <c r="D77" s="30"/>
      <c r="E77" s="30"/>
      <c r="F77" s="30"/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</row>
    <row r="78" spans="2:17" x14ac:dyDescent="0.2">
      <c r="B78" s="30"/>
      <c r="C78" s="30"/>
      <c r="D78" s="30"/>
      <c r="E78" s="30"/>
      <c r="F78" s="30"/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</row>
    <row r="79" spans="2:17" x14ac:dyDescent="0.2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</row>
    <row r="80" spans="2:17" x14ac:dyDescent="0.2"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</row>
    <row r="81" spans="2:17" x14ac:dyDescent="0.2">
      <c r="B81" s="30"/>
      <c r="C81" s="30"/>
      <c r="D81" s="30"/>
      <c r="E81" s="30"/>
      <c r="F81" s="30"/>
      <c r="G81" s="30"/>
      <c r="H81" s="30"/>
      <c r="I81" s="30"/>
      <c r="J81" s="30"/>
      <c r="K81" s="30"/>
      <c r="L81" s="30"/>
      <c r="M81" s="30"/>
      <c r="N81" s="30"/>
      <c r="O81" s="30"/>
      <c r="P81" s="30"/>
      <c r="Q81" s="30"/>
    </row>
    <row r="82" spans="2:17" x14ac:dyDescent="0.2">
      <c r="B82" s="30"/>
      <c r="C82" s="30"/>
      <c r="D82" s="30"/>
      <c r="E82" s="30"/>
      <c r="F82" s="30"/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</row>
    <row r="83" spans="2:17" x14ac:dyDescent="0.2">
      <c r="B83" s="30"/>
      <c r="C83" s="30"/>
      <c r="D83" s="30"/>
      <c r="E83" s="30"/>
      <c r="F83" s="30"/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</row>
    <row r="84" spans="2:17" x14ac:dyDescent="0.2">
      <c r="B84" s="30"/>
      <c r="C84" s="30"/>
      <c r="D84" s="30"/>
      <c r="E84" s="30"/>
      <c r="F84" s="30"/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</row>
    <row r="85" spans="2:17" x14ac:dyDescent="0.2"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</row>
    <row r="86" spans="2:17" x14ac:dyDescent="0.2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</row>
    <row r="87" spans="2:17" x14ac:dyDescent="0.2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</row>
    <row r="88" spans="2:17" x14ac:dyDescent="0.2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</row>
    <row r="89" spans="2:17" x14ac:dyDescent="0.2"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</row>
    <row r="90" spans="2:17" x14ac:dyDescent="0.2"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</row>
    <row r="91" spans="2:17" x14ac:dyDescent="0.2">
      <c r="B91" s="30"/>
      <c r="C91" s="30"/>
      <c r="D91" s="30"/>
      <c r="E91" s="30"/>
      <c r="F91" s="30"/>
      <c r="G91" s="30"/>
      <c r="H91" s="30"/>
      <c r="I91" s="30"/>
      <c r="J91" s="30"/>
      <c r="K91" s="30"/>
      <c r="L91" s="30"/>
      <c r="M91" s="30"/>
      <c r="N91" s="30"/>
      <c r="O91" s="30"/>
      <c r="P91" s="30"/>
      <c r="Q91" s="30"/>
    </row>
    <row r="92" spans="2:17" x14ac:dyDescent="0.2"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</row>
    <row r="93" spans="2:17" x14ac:dyDescent="0.2">
      <c r="B93" s="30"/>
      <c r="C93" s="30"/>
      <c r="D93" s="30"/>
      <c r="E93" s="30"/>
      <c r="F93" s="30"/>
      <c r="G93" s="30"/>
      <c r="H93" s="30"/>
      <c r="I93" s="30"/>
      <c r="J93" s="30"/>
      <c r="K93" s="30"/>
      <c r="L93" s="30"/>
      <c r="M93" s="30"/>
      <c r="N93" s="30"/>
      <c r="O93" s="30"/>
      <c r="P93" s="30"/>
      <c r="Q93" s="30"/>
    </row>
    <row r="94" spans="2:17" x14ac:dyDescent="0.2"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  <c r="P94" s="30"/>
      <c r="Q94" s="30"/>
    </row>
    <row r="95" spans="2:17" x14ac:dyDescent="0.2">
      <c r="B95" s="30"/>
      <c r="C95" s="30"/>
      <c r="D95" s="30"/>
      <c r="E95" s="30"/>
      <c r="F95" s="30"/>
      <c r="G95" s="30"/>
      <c r="H95" s="30"/>
      <c r="I95" s="30"/>
      <c r="J95" s="30"/>
      <c r="K95" s="30"/>
      <c r="L95" s="30"/>
      <c r="M95" s="30"/>
      <c r="N95" s="30"/>
      <c r="O95" s="30"/>
      <c r="P95" s="30"/>
      <c r="Q95" s="30"/>
    </row>
    <row r="96" spans="2:17" x14ac:dyDescent="0.2">
      <c r="B96" s="30"/>
      <c r="C96" s="30"/>
      <c r="D96" s="30"/>
      <c r="E96" s="30"/>
      <c r="F96" s="30"/>
      <c r="G96" s="30"/>
      <c r="H96" s="30"/>
      <c r="I96" s="30"/>
      <c r="J96" s="30"/>
      <c r="K96" s="30"/>
      <c r="L96" s="30"/>
      <c r="M96" s="30"/>
      <c r="N96" s="30"/>
      <c r="O96" s="30"/>
      <c r="P96" s="30"/>
      <c r="Q96" s="30"/>
    </row>
    <row r="97" spans="2:17" x14ac:dyDescent="0.2"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</row>
    <row r="98" spans="2:17" x14ac:dyDescent="0.2"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</row>
    <row r="99" spans="2:17" x14ac:dyDescent="0.2"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  <c r="M99" s="30"/>
      <c r="N99" s="30"/>
      <c r="O99" s="30"/>
      <c r="P99" s="30"/>
      <c r="Q99" s="30"/>
    </row>
    <row r="100" spans="2:17" x14ac:dyDescent="0.2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</row>
    <row r="101" spans="2:17" x14ac:dyDescent="0.2"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</row>
    <row r="102" spans="2:17" x14ac:dyDescent="0.2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</row>
    <row r="103" spans="2:17" x14ac:dyDescent="0.2"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</row>
    <row r="104" spans="2:17" x14ac:dyDescent="0.2"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</row>
    <row r="105" spans="2:17" x14ac:dyDescent="0.2"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</row>
    <row r="106" spans="2:17" x14ac:dyDescent="0.2"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</row>
    <row r="107" spans="2:17" x14ac:dyDescent="0.2">
      <c r="B107" s="30"/>
      <c r="C107" s="30"/>
      <c r="D107" s="30"/>
      <c r="E107" s="30"/>
      <c r="F107" s="30"/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</row>
    <row r="108" spans="2:17" x14ac:dyDescent="0.2"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</row>
    <row r="109" spans="2:17" x14ac:dyDescent="0.2"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</row>
    <row r="110" spans="2:17" x14ac:dyDescent="0.2"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</row>
    <row r="111" spans="2:17" x14ac:dyDescent="0.2"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</row>
    <row r="112" spans="2:17" x14ac:dyDescent="0.2">
      <c r="B112" s="30"/>
      <c r="C112" s="30"/>
      <c r="D112" s="30"/>
      <c r="E112" s="30"/>
      <c r="F112" s="30"/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</row>
  </sheetData>
  <mergeCells count="7">
    <mergeCell ref="A15:B15"/>
    <mergeCell ref="O1:O7"/>
    <mergeCell ref="B1:D1"/>
    <mergeCell ref="E1:E7"/>
    <mergeCell ref="H10:I10"/>
    <mergeCell ref="J10:K10"/>
    <mergeCell ref="L10:N10"/>
  </mergeCells>
  <conditionalFormatting sqref="ZW14:ZW15">
    <cfRule type="colorScale" priority="770">
      <colorScale>
        <cfvo type="num" val="-4"/>
        <cfvo type="num" val="0"/>
        <cfvo type="num" val="4"/>
        <color rgb="FF29A687"/>
        <color rgb="FFC7F1E7"/>
        <color rgb="FFF57D23"/>
      </colorScale>
    </cfRule>
  </conditionalFormatting>
  <conditionalFormatting sqref="ZS14:ZS15">
    <cfRule type="colorScale" priority="713">
      <colorScale>
        <cfvo type="num" val="-4"/>
        <cfvo type="num" val="0"/>
        <cfvo type="num" val="4"/>
        <color rgb="FF29A687"/>
        <color rgb="FFC7F1E7"/>
        <color rgb="FFF57D23"/>
      </colorScale>
    </cfRule>
  </conditionalFormatting>
  <conditionalFormatting sqref="E1:P7 E11:P1048576 E8:E10 O8:P10">
    <cfRule type="colorScale" priority="643">
      <colorScale>
        <cfvo type="num" val="-7"/>
        <cfvo type="num" val="0"/>
        <cfvo type="num" val="7"/>
        <color rgb="FF00B050"/>
        <color rgb="FF92D050"/>
        <color rgb="FFF2A0A2"/>
      </colorScale>
    </cfRule>
  </conditionalFormatting>
  <conditionalFormatting sqref="F8:F10">
    <cfRule type="colorScale" priority="9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conditionalFormatting sqref="G8:G10">
    <cfRule type="colorScale" priority="8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conditionalFormatting sqref="H8:H10">
    <cfRule type="colorScale" priority="7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conditionalFormatting sqref="I8:I9">
    <cfRule type="colorScale" priority="6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conditionalFormatting sqref="J8:J10">
    <cfRule type="colorScale" priority="5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conditionalFormatting sqref="K8:K9">
    <cfRule type="colorScale" priority="4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conditionalFormatting sqref="L8:L10">
    <cfRule type="colorScale" priority="3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conditionalFormatting sqref="M8:M9">
    <cfRule type="colorScale" priority="2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conditionalFormatting sqref="N8:N9">
    <cfRule type="colorScale" priority="1">
      <colorScale>
        <cfvo type="num" val="1"/>
        <cfvo type="percentile" val="50"/>
        <cfvo type="num" val="7"/>
        <color rgb="FFCCFFCC"/>
        <color rgb="FF30C29F"/>
        <color rgb="FF319362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yncSkillsToGapAnalysis">
                <anchor>
                  <from>
                    <xdr:col>16</xdr:col>
                    <xdr:colOff>0</xdr:colOff>
                    <xdr:row>1</xdr:row>
                    <xdr:rowOff>152400</xdr:rowOff>
                  </from>
                  <to>
                    <xdr:col>17</xdr:col>
                    <xdr:colOff>9525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771" id="{E8E28B64-4A9E-4E36-BA73-FCC4B03A8BD4}">
            <x14:iconSet iconSet="4TrafficLights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1.33</xm:f>
              </x14:cfvo>
              <x14:cfvo type="num" gte="0">
                <xm:f>2.66</xm:f>
              </x14:cfvo>
              <x14:cfIcon iconSet="3TrafficLights1" iconId="2"/>
              <x14:cfIcon iconSet="4RedToBlack" iconId="2"/>
              <x14:cfIcon iconSet="3Symbols" iconId="1"/>
              <x14:cfIcon iconSet="3TrafficLights1" iconId="0"/>
            </x14:iconSet>
          </x14:cfRule>
          <xm:sqref>ZW13</xm:sqref>
        </x14:conditionalFormatting>
        <x14:conditionalFormatting xmlns:xm="http://schemas.microsoft.com/office/excel/2006/main">
          <x14:cfRule type="iconSet" priority="714" id="{61EA9C53-D13D-4A2C-AA19-1C3C6493B38C}">
            <x14:iconSet iconSet="4TrafficLights" showValue="0" custom="1">
              <x14:cfvo type="percent">
                <xm:f>0</xm:f>
              </x14:cfvo>
              <x14:cfvo type="num" gte="0">
                <xm:f>0</xm:f>
              </x14:cfvo>
              <x14:cfvo type="num" gte="0">
                <xm:f>1.33</xm:f>
              </x14:cfvo>
              <x14:cfvo type="num" gte="0">
                <xm:f>2.66</xm:f>
              </x14:cfvo>
              <x14:cfIcon iconSet="3TrafficLights1" iconId="2"/>
              <x14:cfIcon iconSet="4RedToBlack" iconId="2"/>
              <x14:cfIcon iconSet="3Symbols" iconId="1"/>
              <x14:cfIcon iconSet="3TrafficLights1" iconId="0"/>
            </x14:iconSet>
          </x14:cfRule>
          <xm:sqref>ZS13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92A87-7F71-40DF-81CE-8B4A03F55646}">
  <sheetPr codeName="Sheet7"/>
  <dimension ref="A1:A2"/>
  <sheetViews>
    <sheetView workbookViewId="0"/>
  </sheetViews>
  <sheetFormatPr defaultRowHeight="12.75" x14ac:dyDescent="0.2"/>
  <sheetData>
    <row r="1" spans="1:1" x14ac:dyDescent="0.2">
      <c r="A1" t="s">
        <v>30</v>
      </c>
    </row>
    <row r="2" spans="1:1" x14ac:dyDescent="0.2">
      <c r="A2" t="s">
        <v>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1936A-B534-43F6-8533-B42508806547}">
  <sheetPr codeName="Sheet4"/>
  <dimension ref="A1:Y128"/>
  <sheetViews>
    <sheetView workbookViewId="0">
      <selection activeCell="A15" sqref="A15"/>
    </sheetView>
  </sheetViews>
  <sheetFormatPr defaultColWidth="8.7109375" defaultRowHeight="12.75" x14ac:dyDescent="0.2"/>
  <cols>
    <col min="1" max="1" width="34.28515625" bestFit="1" customWidth="1"/>
    <col min="2" max="2" width="14.7109375" bestFit="1" customWidth="1"/>
    <col min="3" max="3" width="11.85546875" customWidth="1"/>
    <col min="4" max="4" width="24.28515625" bestFit="1" customWidth="1"/>
    <col min="5" max="5" width="5.140625" bestFit="1" customWidth="1"/>
    <col min="6" max="6" width="4.28515625" bestFit="1" customWidth="1"/>
    <col min="7" max="7" width="9.85546875" customWidth="1"/>
    <col min="8" max="9" width="5.28515625" bestFit="1" customWidth="1"/>
    <col min="10" max="11" width="4.28515625" bestFit="1" customWidth="1"/>
    <col min="12" max="12" width="5.28515625" bestFit="1" customWidth="1"/>
    <col min="13" max="13" width="9.7109375" customWidth="1"/>
    <col min="14" max="14" width="4.28515625" bestFit="1" customWidth="1"/>
    <col min="15" max="15" width="4.42578125" customWidth="1"/>
    <col min="16" max="16" width="4.140625" customWidth="1"/>
    <col min="17" max="17" width="2.7109375" style="3" customWidth="1"/>
    <col min="18" max="18" width="5.28515625" bestFit="1" customWidth="1"/>
    <col min="19" max="19" width="31.28515625" style="3" customWidth="1"/>
    <col min="20" max="20" width="13.85546875" style="3" bestFit="1" customWidth="1"/>
    <col min="21" max="21" width="11.5703125" bestFit="1" customWidth="1"/>
    <col min="22" max="22" width="9.5703125" bestFit="1" customWidth="1"/>
    <col min="23" max="23" width="12.85546875" bestFit="1" customWidth="1"/>
    <col min="24" max="24" width="5" bestFit="1" customWidth="1"/>
    <col min="25" max="25" width="6.28515625" style="3" customWidth="1"/>
    <col min="26" max="26" width="6.42578125" customWidth="1"/>
  </cols>
  <sheetData>
    <row r="1" spans="1:4" ht="13.5" thickBot="1" x14ac:dyDescent="0.25">
      <c r="B1" s="78" t="s">
        <v>14</v>
      </c>
      <c r="C1" s="78" t="s">
        <v>63</v>
      </c>
      <c r="D1" s="78" t="s">
        <v>15</v>
      </c>
    </row>
    <row r="2" spans="1:4" ht="13.5" thickBot="1" x14ac:dyDescent="0.25">
      <c r="B2" s="80" t="s">
        <v>78</v>
      </c>
      <c r="C2" s="80" t="s">
        <v>30</v>
      </c>
      <c r="D2" s="80" t="s">
        <v>30</v>
      </c>
    </row>
    <row r="4" spans="1:4" ht="13.5" thickBot="1" x14ac:dyDescent="0.25"/>
    <row r="5" spans="1:4" ht="13.5" thickBot="1" x14ac:dyDescent="0.25">
      <c r="A5" s="79" t="s">
        <v>47</v>
      </c>
      <c r="B5" s="29" t="s">
        <v>62</v>
      </c>
      <c r="C5" s="29" t="s">
        <v>16</v>
      </c>
      <c r="D5" s="29" t="s">
        <v>17</v>
      </c>
    </row>
    <row r="6" spans="1:4" x14ac:dyDescent="0.2">
      <c r="A6" t="str" cm="1">
        <f t="array" ref="A6:A11">Chart_EmpListSkill</f>
        <v>Storage management</v>
      </c>
      <c r="B6" t="str" cm="1">
        <f t="array" ref="B6">IF(A6&lt;&gt;"",IFERROR(INDEX(SkillsMatrix_Data,MATCH(1,INDEX((INDEX(SkillsMatrix_Data,,1)=$B$2) * (INDEX(SkillsMatrix_Data,,2)=$C$2),0),0),MATCH(A6,SkillsMatrix_Skills,0)+3)," ")," ")</f>
        <v xml:space="preserve"> </v>
      </c>
      <c r="C6" t="str">
        <f t="shared" ref="C6:C37" si="0">IF(A6&lt;&gt;"",IF(ISERR(VLOOKUP($C$2,RolesMatrix_Data,MATCH(A6,RolesMatrix_Skills,0)+2,FALSE))," ",VLOOKUP($C$2,RolesMatrix_Data,MATCH(A6,RolesMatrix_Skills,0)+2,FALSE))," ")</f>
        <v xml:space="preserve"> </v>
      </c>
      <c r="D6" t="str">
        <f t="shared" ref="D6:D37" si="1">IF(A6&lt;&gt;"",IF(ISERR(VLOOKUP($D$2,RolesMatrix_Data,MATCH(A6,RolesMatrix_Skills,0)+2,FALSE))," ",VLOOKUP($D$2,RolesMatrix_Data,MATCH(A6,RolesMatrix_Skills,0)+2,FALSE))," ")</f>
        <v xml:space="preserve"> </v>
      </c>
    </row>
    <row r="7" spans="1:4" x14ac:dyDescent="0.2">
      <c r="A7" t="str">
        <v>Data engineering</v>
      </c>
      <c r="B7" t="str" cm="1">
        <f t="array" ref="B7">IF(A7&lt;&gt;"",IFERROR(INDEX(SkillsMatrix_Data,MATCH(1,INDEX((INDEX(SkillsMatrix_Data,,1)=$B$2) * (INDEX(SkillsMatrix_Data,,2)=$C$2),0),0),MATCH(A7,SkillsMatrix_Skills,0)+3)," ")," ")</f>
        <v xml:space="preserve"> </v>
      </c>
      <c r="C7" t="str">
        <f t="shared" si="0"/>
        <v xml:space="preserve"> </v>
      </c>
      <c r="D7" t="str">
        <f t="shared" si="1"/>
        <v xml:space="preserve"> </v>
      </c>
    </row>
    <row r="8" spans="1:4" x14ac:dyDescent="0.2">
      <c r="A8" t="str">
        <v>Software Testing</v>
      </c>
      <c r="B8" t="str" cm="1">
        <f t="array" ref="B8">IF(A8&lt;&gt;"",IFERROR(INDEX(SkillsMatrix_Data,MATCH(1,INDEX((INDEX(SkillsMatrix_Data,,1)=$B$2) * (INDEX(SkillsMatrix_Data,,2)=$C$2),0),0),MATCH(A8,SkillsMatrix_Skills,0)+3)," ")," ")</f>
        <v xml:space="preserve"> </v>
      </c>
      <c r="C8" t="str">
        <f t="shared" si="0"/>
        <v xml:space="preserve"> </v>
      </c>
      <c r="D8" t="str">
        <f t="shared" si="1"/>
        <v xml:space="preserve"> </v>
      </c>
    </row>
    <row r="9" spans="1:4" x14ac:dyDescent="0.2">
      <c r="A9" t="str">
        <v>System Administration &amp; Infrastructure</v>
      </c>
      <c r="B9" t="str" cm="1">
        <f t="array" ref="B9">IF(A9&lt;&gt;"",IFERROR(INDEX(SkillsMatrix_Data,MATCH(1,INDEX((INDEX(SkillsMatrix_Data,,1)=$B$2) * (INDEX(SkillsMatrix_Data,,2)=$C$2),0),0),MATCH(A9,SkillsMatrix_Skills,0)+3)," ")," ")</f>
        <v xml:space="preserve"> </v>
      </c>
      <c r="C9" t="str">
        <f t="shared" si="0"/>
        <v xml:space="preserve"> </v>
      </c>
      <c r="D9" t="str">
        <f t="shared" si="1"/>
        <v xml:space="preserve"> </v>
      </c>
    </row>
    <row r="10" spans="1:4" x14ac:dyDescent="0.2">
      <c r="A10" t="str">
        <v>Financial analysis</v>
      </c>
      <c r="B10" t="str" cm="1">
        <f t="array" ref="B10">IF(A10&lt;&gt;"",IFERROR(INDEX(SkillsMatrix_Data,MATCH(1,INDEX((INDEX(SkillsMatrix_Data,,1)=$B$2) * (INDEX(SkillsMatrix_Data,,2)=$C$2),0),0),MATCH(A10,SkillsMatrix_Skills,0)+3)," ")," ")</f>
        <v xml:space="preserve"> </v>
      </c>
      <c r="C10" t="str">
        <f t="shared" si="0"/>
        <v xml:space="preserve"> </v>
      </c>
      <c r="D10" t="str">
        <f t="shared" si="1"/>
        <v xml:space="preserve"> </v>
      </c>
    </row>
    <row r="11" spans="1:4" x14ac:dyDescent="0.2">
      <c r="A11" t="str">
        <v>Methods and tools</v>
      </c>
      <c r="B11" t="str" cm="1">
        <f t="array" ref="B11">IF(A11&lt;&gt;"",IFERROR(INDEX(SkillsMatrix_Data,MATCH(1,INDEX((INDEX(SkillsMatrix_Data,,1)=$B$2) * (INDEX(SkillsMatrix_Data,,2)=$C$2),0),0),MATCH(A11,SkillsMatrix_Skills,0)+3)," ")," ")</f>
        <v xml:space="preserve"> </v>
      </c>
      <c r="C11" t="str">
        <f t="shared" si="0"/>
        <v xml:space="preserve"> </v>
      </c>
      <c r="D11" t="str">
        <f t="shared" si="1"/>
        <v xml:space="preserve"> </v>
      </c>
    </row>
    <row r="12" spans="1:4" x14ac:dyDescent="0.2">
      <c r="B12" t="str" cm="1">
        <f t="array" ref="B12">IF(A12&lt;&gt;"",IFERROR(INDEX(SkillsMatrix_Data,MATCH(1,INDEX((INDEX(SkillsMatrix_Data,,1)=$B$2) * (INDEX(SkillsMatrix_Data,,2)=$C$2),0),0),MATCH(A12,SkillsMatrix_Skills,0)+3)," ")," ")</f>
        <v xml:space="preserve"> </v>
      </c>
      <c r="C12" t="str">
        <f t="shared" si="0"/>
        <v xml:space="preserve"> </v>
      </c>
      <c r="D12" t="str">
        <f t="shared" si="1"/>
        <v xml:space="preserve"> </v>
      </c>
    </row>
    <row r="13" spans="1:4" x14ac:dyDescent="0.2">
      <c r="B13" t="str" cm="1">
        <f t="array" ref="B13">IF(A13&lt;&gt;"",IFERROR(INDEX(SkillsMatrix_Data,MATCH(1,INDEX((INDEX(SkillsMatrix_Data,,1)=$B$2) * (INDEX(SkillsMatrix_Data,,2)=$C$2),0),0),MATCH(A13,SkillsMatrix_Skills,0)+3)," ")," ")</f>
        <v xml:space="preserve"> </v>
      </c>
      <c r="C13" t="str">
        <f t="shared" si="0"/>
        <v xml:space="preserve"> </v>
      </c>
      <c r="D13" t="str">
        <f t="shared" si="1"/>
        <v xml:space="preserve"> </v>
      </c>
    </row>
    <row r="14" spans="1:4" x14ac:dyDescent="0.2">
      <c r="B14" t="str" cm="1">
        <f t="array" ref="B14">IF(A14&lt;&gt;"",IFERROR(INDEX(SkillsMatrix_Data,MATCH(1,INDEX((INDEX(SkillsMatrix_Data,,1)=$B$2) * (INDEX(SkillsMatrix_Data,,2)=$C$2),0),0),MATCH(A14,SkillsMatrix_Skills,0)+3)," ")," ")</f>
        <v xml:space="preserve"> </v>
      </c>
      <c r="C14" t="str">
        <f t="shared" si="0"/>
        <v xml:space="preserve"> </v>
      </c>
      <c r="D14" t="str">
        <f t="shared" si="1"/>
        <v xml:space="preserve"> </v>
      </c>
    </row>
    <row r="15" spans="1:4" x14ac:dyDescent="0.2">
      <c r="B15" t="str" cm="1">
        <f t="array" ref="B15">IF(A15&lt;&gt;"",IFERROR(INDEX(SkillsMatrix_Data,MATCH(1,INDEX((INDEX(SkillsMatrix_Data,,1)=$B$2) * (INDEX(SkillsMatrix_Data,,2)=$C$2),0),0),MATCH(A15,SkillsMatrix_Skills,0)+3)," ")," ")</f>
        <v xml:space="preserve"> </v>
      </c>
      <c r="C15" t="str">
        <f t="shared" si="0"/>
        <v xml:space="preserve"> </v>
      </c>
      <c r="D15" t="str">
        <f t="shared" si="1"/>
        <v xml:space="preserve"> </v>
      </c>
    </row>
    <row r="16" spans="1:4" x14ac:dyDescent="0.2">
      <c r="B16" t="str" cm="1">
        <f t="array" ref="B16">IF(A16&lt;&gt;"",IFERROR(INDEX(SkillsMatrix_Data,MATCH(1,INDEX((INDEX(SkillsMatrix_Data,,1)=$B$2) * (INDEX(SkillsMatrix_Data,,2)=$C$2),0),0),MATCH(A16,SkillsMatrix_Skills,0)+3)," ")," ")</f>
        <v xml:space="preserve"> </v>
      </c>
      <c r="C16" t="str">
        <f t="shared" si="0"/>
        <v xml:space="preserve"> </v>
      </c>
      <c r="D16" t="str">
        <f t="shared" si="1"/>
        <v xml:space="preserve"> </v>
      </c>
    </row>
    <row r="17" spans="2:21" x14ac:dyDescent="0.2">
      <c r="B17" t="str" cm="1">
        <f t="array" ref="B17">IF(A17&lt;&gt;"",IFERROR(INDEX(SkillsMatrix_Data,MATCH(1,INDEX((INDEX(SkillsMatrix_Data,,1)=$B$2) * (INDEX(SkillsMatrix_Data,,2)=$C$2),0),0),MATCH(A17,SkillsMatrix_Skills,0)+3)," ")," ")</f>
        <v xml:space="preserve"> </v>
      </c>
      <c r="C17" t="str">
        <f t="shared" si="0"/>
        <v xml:space="preserve"> </v>
      </c>
      <c r="D17" t="str">
        <f t="shared" si="1"/>
        <v xml:space="preserve"> </v>
      </c>
    </row>
    <row r="18" spans="2:21" x14ac:dyDescent="0.2">
      <c r="B18" t="str" cm="1">
        <f t="array" ref="B18">IF(A18&lt;&gt;"",IFERROR(INDEX(SkillsMatrix_Data,MATCH(1,INDEX((INDEX(SkillsMatrix_Data,,1)=$B$2) * (INDEX(SkillsMatrix_Data,,2)=$C$2),0),0),MATCH(A18,SkillsMatrix_Skills,0)+3)," ")," ")</f>
        <v xml:space="preserve"> </v>
      </c>
      <c r="C18" t="str">
        <f t="shared" si="0"/>
        <v xml:space="preserve"> </v>
      </c>
      <c r="D18" t="str">
        <f t="shared" si="1"/>
        <v xml:space="preserve"> </v>
      </c>
      <c r="Q18" s="4"/>
      <c r="S18" s="4"/>
      <c r="T18" s="4"/>
    </row>
    <row r="19" spans="2:21" x14ac:dyDescent="0.2">
      <c r="B19" t="str" cm="1">
        <f t="array" ref="B19">IF(A19&lt;&gt;"",IFERROR(INDEX(SkillsMatrix_Data,MATCH(1,INDEX((INDEX(SkillsMatrix_Data,,1)=$B$2) * (INDEX(SkillsMatrix_Data,,2)=$C$2),0),0),MATCH(A19,SkillsMatrix_Skills,0)+3)," ")," ")</f>
        <v xml:space="preserve"> </v>
      </c>
      <c r="C19" t="str">
        <f t="shared" si="0"/>
        <v xml:space="preserve"> </v>
      </c>
      <c r="D19" t="str">
        <f t="shared" si="1"/>
        <v xml:space="preserve"> </v>
      </c>
      <c r="Q19" s="4"/>
      <c r="S19" s="4"/>
      <c r="T19" s="4"/>
    </row>
    <row r="20" spans="2:21" x14ac:dyDescent="0.2">
      <c r="B20" t="str" cm="1">
        <f t="array" ref="B20">IF(A20&lt;&gt;"",IFERROR(INDEX(SkillsMatrix_Data,MATCH(1,INDEX((INDEX(SkillsMatrix_Data,,1)=$B$2) * (INDEX(SkillsMatrix_Data,,2)=$C$2),0),0),MATCH(A20,SkillsMatrix_Skills,0)+3)," ")," ")</f>
        <v xml:space="preserve"> </v>
      </c>
      <c r="C20" t="str">
        <f t="shared" si="0"/>
        <v xml:space="preserve"> </v>
      </c>
      <c r="D20" t="str">
        <f t="shared" si="1"/>
        <v xml:space="preserve"> </v>
      </c>
      <c r="Q20" s="4"/>
      <c r="S20" s="4"/>
      <c r="T20" s="4"/>
    </row>
    <row r="21" spans="2:21" x14ac:dyDescent="0.2">
      <c r="B21" t="str" cm="1">
        <f t="array" ref="B21">IF(A21&lt;&gt;"",IFERROR(INDEX(SkillsMatrix_Data,MATCH(1,INDEX((INDEX(SkillsMatrix_Data,,1)=$B$2) * (INDEX(SkillsMatrix_Data,,2)=$C$2),0),0),MATCH(A21,SkillsMatrix_Skills,0)+3)," ")," ")</f>
        <v xml:space="preserve"> </v>
      </c>
      <c r="C21" t="str">
        <f t="shared" si="0"/>
        <v xml:space="preserve"> </v>
      </c>
      <c r="D21" t="str">
        <f t="shared" si="1"/>
        <v xml:space="preserve"> </v>
      </c>
      <c r="Q21" s="4"/>
      <c r="S21" s="4"/>
      <c r="T21" s="4"/>
    </row>
    <row r="22" spans="2:21" x14ac:dyDescent="0.2">
      <c r="B22" t="str" cm="1">
        <f t="array" ref="B22">IF(A22&lt;&gt;"",IFERROR(INDEX(SkillsMatrix_Data,MATCH(1,INDEX((INDEX(SkillsMatrix_Data,,1)=$B$2) * (INDEX(SkillsMatrix_Data,,2)=$C$2),0),0),MATCH(A22,SkillsMatrix_Skills,0)+3)," ")," ")</f>
        <v xml:space="preserve"> </v>
      </c>
      <c r="C22" t="str">
        <f t="shared" si="0"/>
        <v xml:space="preserve"> </v>
      </c>
      <c r="D22" t="str">
        <f t="shared" si="1"/>
        <v xml:space="preserve"> </v>
      </c>
      <c r="Q22" s="4"/>
      <c r="S22" s="4"/>
      <c r="T22" s="4"/>
    </row>
    <row r="23" spans="2:21" x14ac:dyDescent="0.2">
      <c r="B23" t="str" cm="1">
        <f t="array" ref="B23">IF(A23&lt;&gt;"",IFERROR(INDEX(SkillsMatrix_Data,MATCH(1,INDEX((INDEX(SkillsMatrix_Data,,1)=$B$2) * (INDEX(SkillsMatrix_Data,,2)=$C$2),0),0),MATCH(A23,SkillsMatrix_Skills,0)+3)," ")," ")</f>
        <v xml:space="preserve"> </v>
      </c>
      <c r="C23" t="str">
        <f t="shared" si="0"/>
        <v xml:space="preserve"> </v>
      </c>
      <c r="D23" t="str">
        <f t="shared" si="1"/>
        <v xml:space="preserve"> </v>
      </c>
      <c r="Q23" s="4"/>
      <c r="S23" s="4"/>
    </row>
    <row r="24" spans="2:21" x14ac:dyDescent="0.2">
      <c r="B24" t="str" cm="1">
        <f t="array" ref="B24">IF(A24&lt;&gt;"",IFERROR(INDEX(SkillsMatrix_Data,MATCH(1,INDEX((INDEX(SkillsMatrix_Data,,1)=$B$2) * (INDEX(SkillsMatrix_Data,,2)=$C$2),0),0),MATCH(A24,SkillsMatrix_Skills,0)+3)," ")," ")</f>
        <v xml:space="preserve"> </v>
      </c>
      <c r="C24" t="str">
        <f t="shared" si="0"/>
        <v xml:space="preserve"> </v>
      </c>
      <c r="D24" t="str">
        <f t="shared" si="1"/>
        <v xml:space="preserve"> </v>
      </c>
      <c r="Q24" s="4"/>
      <c r="S24" s="4"/>
      <c r="T24" s="4"/>
    </row>
    <row r="25" spans="2:21" ht="13.5" thickBot="1" x14ac:dyDescent="0.25">
      <c r="B25" t="str" cm="1">
        <f t="array" ref="B25">IF(A25&lt;&gt;"",IFERROR(INDEX(SkillsMatrix_Data,MATCH(1,INDEX((INDEX(SkillsMatrix_Data,,1)=$B$2) * (INDEX(SkillsMatrix_Data,,2)=$C$2),0),0),MATCH(A25,SkillsMatrix_Skills,0)+3)," ")," ")</f>
        <v xml:space="preserve"> </v>
      </c>
      <c r="C25" t="str">
        <f t="shared" si="0"/>
        <v xml:space="preserve"> </v>
      </c>
      <c r="D25" t="str">
        <f t="shared" si="1"/>
        <v xml:space="preserve"> </v>
      </c>
      <c r="Q25" s="4"/>
      <c r="S25" s="4"/>
      <c r="T25" s="4"/>
    </row>
    <row r="26" spans="2:21" ht="13.5" thickBot="1" x14ac:dyDescent="0.25">
      <c r="B26" t="str" cm="1">
        <f t="array" ref="B26">IF(A26&lt;&gt;"",IFERROR(INDEX(SkillsMatrix_Data,MATCH(1,INDEX((INDEX(SkillsMatrix_Data,,1)=$B$2) * (INDEX(SkillsMatrix_Data,,2)=$C$2),0),0),MATCH(A26,SkillsMatrix_Skills,0)+3)," ")," ")</f>
        <v xml:space="preserve"> </v>
      </c>
      <c r="C26" t="str">
        <f t="shared" si="0"/>
        <v xml:space="preserve"> </v>
      </c>
      <c r="D26" t="str">
        <f t="shared" si="1"/>
        <v xml:space="preserve"> </v>
      </c>
      <c r="Q26" s="4"/>
      <c r="S26" s="4"/>
      <c r="T26" s="79" t="s">
        <v>115</v>
      </c>
      <c r="U26" s="29" t="s">
        <v>18</v>
      </c>
    </row>
    <row r="27" spans="2:21" x14ac:dyDescent="0.2">
      <c r="B27" t="str" cm="1">
        <f t="array" ref="B27">IF(A27&lt;&gt;"",IFERROR(INDEX(SkillsMatrix_Data,MATCH(1,INDEX((INDEX(SkillsMatrix_Data,,1)=$B$2) * (INDEX(SkillsMatrix_Data,,2)=$C$2),0),0),MATCH(A27,SkillsMatrix_Skills,0)+3)," ")," ")</f>
        <v xml:space="preserve"> </v>
      </c>
      <c r="C27" t="str">
        <f t="shared" si="0"/>
        <v xml:space="preserve"> </v>
      </c>
      <c r="D27" t="str">
        <f t="shared" si="1"/>
        <v xml:space="preserve"> </v>
      </c>
      <c r="Q27" s="4"/>
      <c r="S27" s="4"/>
      <c r="T27" t="e" cm="1">
        <f t="array" ref="T27">TRANSPOSE(SkillsMatrix_Skills)</f>
        <v>#REF!</v>
      </c>
      <c r="U27" s="33" t="e">
        <f t="shared" ref="U27:U90" si="2">IF(T27&lt;&gt;"",IF(ISERR(VLOOKUP("Team Average",GapAnalysis_Data,MATCH(T27,GapAnalysis_Skills,0)+3,FALSE))," ",VLOOKUP("Team Average",GapAnalysis_Data,MATCH(T27,GapAnalysis_Skills,0)+3,FALSE))," ")</f>
        <v>#REF!</v>
      </c>
    </row>
    <row r="28" spans="2:21" x14ac:dyDescent="0.2">
      <c r="B28" t="str" cm="1">
        <f t="array" ref="B28">IF(A28&lt;&gt;"",IFERROR(INDEX(SkillsMatrix_Data,MATCH(1,INDEX((INDEX(SkillsMatrix_Data,,1)=$B$2) * (INDEX(SkillsMatrix_Data,,2)=$C$2),0),0),MATCH(A28,SkillsMatrix_Skills,0)+3)," ")," ")</f>
        <v xml:space="preserve"> </v>
      </c>
      <c r="C28" t="str">
        <f t="shared" si="0"/>
        <v xml:space="preserve"> </v>
      </c>
      <c r="D28" t="str">
        <f t="shared" si="1"/>
        <v xml:space="preserve"> </v>
      </c>
      <c r="Q28" s="4"/>
      <c r="S28" s="4"/>
      <c r="T28"/>
      <c r="U28" s="33" t="str">
        <f t="shared" si="2"/>
        <v xml:space="preserve"> </v>
      </c>
    </row>
    <row r="29" spans="2:21" x14ac:dyDescent="0.2">
      <c r="B29" t="str" cm="1">
        <f t="array" ref="B29">IF(A29&lt;&gt;"",IFERROR(INDEX(SkillsMatrix_Data,MATCH(1,INDEX((INDEX(SkillsMatrix_Data,,1)=$B$2) * (INDEX(SkillsMatrix_Data,,2)=$C$2),0),0),MATCH(A29,SkillsMatrix_Skills,0)+3)," ")," ")</f>
        <v xml:space="preserve"> </v>
      </c>
      <c r="C29" t="str">
        <f t="shared" si="0"/>
        <v xml:space="preserve"> </v>
      </c>
      <c r="D29" t="str">
        <f t="shared" si="1"/>
        <v xml:space="preserve"> </v>
      </c>
      <c r="Q29" s="4"/>
      <c r="S29" s="4"/>
      <c r="T29"/>
      <c r="U29" s="33" t="str">
        <f t="shared" si="2"/>
        <v xml:space="preserve"> </v>
      </c>
    </row>
    <row r="30" spans="2:21" x14ac:dyDescent="0.2">
      <c r="B30" t="str" cm="1">
        <f t="array" ref="B30">IF(A30&lt;&gt;"",IFERROR(INDEX(SkillsMatrix_Data,MATCH(1,INDEX((INDEX(SkillsMatrix_Data,,1)=$B$2) * (INDEX(SkillsMatrix_Data,,2)=$C$2),0),0),MATCH(A30,SkillsMatrix_Skills,0)+3)," ")," ")</f>
        <v xml:space="preserve"> </v>
      </c>
      <c r="C30" t="str">
        <f t="shared" si="0"/>
        <v xml:space="preserve"> </v>
      </c>
      <c r="D30" t="str">
        <f t="shared" si="1"/>
        <v xml:space="preserve"> </v>
      </c>
      <c r="Q30" s="4"/>
      <c r="S30" s="4"/>
      <c r="T30"/>
      <c r="U30" s="33" t="str">
        <f t="shared" si="2"/>
        <v xml:space="preserve"> </v>
      </c>
    </row>
    <row r="31" spans="2:21" x14ac:dyDescent="0.2">
      <c r="B31" t="str" cm="1">
        <f t="array" ref="B31">IF(A31&lt;&gt;"",IFERROR(INDEX(SkillsMatrix_Data,MATCH(1,INDEX((INDEX(SkillsMatrix_Data,,1)=$B$2) * (INDEX(SkillsMatrix_Data,,2)=$C$2),0),0),MATCH(A31,SkillsMatrix_Skills,0)+3)," ")," ")</f>
        <v xml:space="preserve"> </v>
      </c>
      <c r="C31" t="str">
        <f t="shared" si="0"/>
        <v xml:space="preserve"> </v>
      </c>
      <c r="D31" t="str">
        <f t="shared" si="1"/>
        <v xml:space="preserve"> </v>
      </c>
      <c r="Q31" s="4"/>
      <c r="S31" s="4"/>
      <c r="T31"/>
      <c r="U31" s="33" t="str">
        <f t="shared" si="2"/>
        <v xml:space="preserve"> </v>
      </c>
    </row>
    <row r="32" spans="2:21" x14ac:dyDescent="0.2">
      <c r="B32" t="str" cm="1">
        <f t="array" ref="B32">IF(A32&lt;&gt;"",IFERROR(INDEX(SkillsMatrix_Data,MATCH(1,INDEX((INDEX(SkillsMatrix_Data,,1)=$B$2) * (INDEX(SkillsMatrix_Data,,2)=$C$2),0),0),MATCH(A32,SkillsMatrix_Skills,0)+3)," ")," ")</f>
        <v xml:space="preserve"> </v>
      </c>
      <c r="C32" t="str">
        <f t="shared" si="0"/>
        <v xml:space="preserve"> </v>
      </c>
      <c r="D32" t="str">
        <f t="shared" si="1"/>
        <v xml:space="preserve"> </v>
      </c>
      <c r="Q32" s="4"/>
      <c r="S32" s="4"/>
      <c r="T32"/>
      <c r="U32" s="33" t="str">
        <f t="shared" si="2"/>
        <v xml:space="preserve"> </v>
      </c>
    </row>
    <row r="33" spans="2:21" x14ac:dyDescent="0.2">
      <c r="B33" t="str" cm="1">
        <f t="array" ref="B33">IF(A33&lt;&gt;"",IFERROR(INDEX(SkillsMatrix_Data,MATCH(1,INDEX((INDEX(SkillsMatrix_Data,,1)=$B$2) * (INDEX(SkillsMatrix_Data,,2)=$C$2),0),0),MATCH(A33,SkillsMatrix_Skills,0)+3)," ")," ")</f>
        <v xml:space="preserve"> </v>
      </c>
      <c r="C33" t="str">
        <f t="shared" si="0"/>
        <v xml:space="preserve"> </v>
      </c>
      <c r="D33" t="str">
        <f t="shared" si="1"/>
        <v xml:space="preserve"> </v>
      </c>
      <c r="Q33" s="4"/>
      <c r="S33" s="4"/>
      <c r="T33"/>
      <c r="U33" s="33" t="str">
        <f t="shared" si="2"/>
        <v xml:space="preserve"> </v>
      </c>
    </row>
    <row r="34" spans="2:21" x14ac:dyDescent="0.2">
      <c r="B34" t="str" cm="1">
        <f t="array" ref="B34">IF(A34&lt;&gt;"",IFERROR(INDEX(SkillsMatrix_Data,MATCH(1,INDEX((INDEX(SkillsMatrix_Data,,1)=$B$2) * (INDEX(SkillsMatrix_Data,,2)=$C$2),0),0),MATCH(A34,SkillsMatrix_Skills,0)+3)," ")," ")</f>
        <v xml:space="preserve"> </v>
      </c>
      <c r="C34" t="str">
        <f t="shared" si="0"/>
        <v xml:space="preserve"> </v>
      </c>
      <c r="D34" t="str">
        <f t="shared" si="1"/>
        <v xml:space="preserve"> </v>
      </c>
      <c r="Q34" s="4"/>
      <c r="S34" s="4"/>
      <c r="T34"/>
      <c r="U34" s="33" t="str">
        <f t="shared" si="2"/>
        <v xml:space="preserve"> </v>
      </c>
    </row>
    <row r="35" spans="2:21" x14ac:dyDescent="0.2">
      <c r="B35" t="str" cm="1">
        <f t="array" ref="B35">IF(A35&lt;&gt;"",IFERROR(INDEX(SkillsMatrix_Data,MATCH(1,INDEX((INDEX(SkillsMatrix_Data,,1)=$B$2) * (INDEX(SkillsMatrix_Data,,2)=$C$2),0),0),MATCH(A35,SkillsMatrix_Skills,0)+3)," ")," ")</f>
        <v xml:space="preserve"> </v>
      </c>
      <c r="C35" t="str">
        <f t="shared" si="0"/>
        <v xml:space="preserve"> </v>
      </c>
      <c r="D35" t="str">
        <f t="shared" si="1"/>
        <v xml:space="preserve"> </v>
      </c>
      <c r="Q35" s="4"/>
      <c r="S35" s="4"/>
      <c r="T35"/>
      <c r="U35" s="33" t="str">
        <f t="shared" si="2"/>
        <v xml:space="preserve"> </v>
      </c>
    </row>
    <row r="36" spans="2:21" x14ac:dyDescent="0.2">
      <c r="B36" t="str" cm="1">
        <f t="array" ref="B36">IF(A36&lt;&gt;"",IFERROR(INDEX(SkillsMatrix_Data,MATCH(1,INDEX((INDEX(SkillsMatrix_Data,,1)=$B$2) * (INDEX(SkillsMatrix_Data,,2)=$C$2),0),0),MATCH(A36,SkillsMatrix_Skills,0)+3)," ")," ")</f>
        <v xml:space="preserve"> </v>
      </c>
      <c r="C36" t="str">
        <f t="shared" si="0"/>
        <v xml:space="preserve"> </v>
      </c>
      <c r="D36" t="str">
        <f t="shared" si="1"/>
        <v xml:space="preserve"> </v>
      </c>
      <c r="Q36" s="4"/>
      <c r="S36" s="4"/>
      <c r="T36"/>
      <c r="U36" s="33" t="str">
        <f t="shared" si="2"/>
        <v xml:space="preserve"> </v>
      </c>
    </row>
    <row r="37" spans="2:21" x14ac:dyDescent="0.2">
      <c r="B37" t="str" cm="1">
        <f t="array" ref="B37">IF(A37&lt;&gt;"",IFERROR(INDEX(SkillsMatrix_Data,MATCH(1,INDEX((INDEX(SkillsMatrix_Data,,1)=$B$2) * (INDEX(SkillsMatrix_Data,,2)=$C$2),0),0),MATCH(A37,SkillsMatrix_Skills,0)+3)," ")," ")</f>
        <v xml:space="preserve"> </v>
      </c>
      <c r="C37" t="str">
        <f t="shared" si="0"/>
        <v xml:space="preserve"> </v>
      </c>
      <c r="D37" t="str">
        <f t="shared" si="1"/>
        <v xml:space="preserve"> </v>
      </c>
      <c r="Q37" s="4"/>
      <c r="S37" s="4"/>
      <c r="T37"/>
      <c r="U37" s="33" t="str">
        <f t="shared" si="2"/>
        <v xml:space="preserve"> </v>
      </c>
    </row>
    <row r="38" spans="2:21" x14ac:dyDescent="0.2">
      <c r="B38" t="str" cm="1">
        <f t="array" ref="B38">IF(A38&lt;&gt;"",IFERROR(INDEX(SkillsMatrix_Data,MATCH(1,INDEX((INDEX(SkillsMatrix_Data,,1)=$B$2) * (INDEX(SkillsMatrix_Data,,2)=$C$2),0),0),MATCH(A38,SkillsMatrix_Skills,0)+3)," ")," ")</f>
        <v xml:space="preserve"> </v>
      </c>
      <c r="C38" t="str">
        <f t="shared" ref="C38:C69" si="3">IF(A38&lt;&gt;"",IF(ISERR(VLOOKUP($C$2,RolesMatrix_Data,MATCH(A38,RolesMatrix_Skills,0)+2,FALSE))," ",VLOOKUP($C$2,RolesMatrix_Data,MATCH(A38,RolesMatrix_Skills,0)+2,FALSE))," ")</f>
        <v xml:space="preserve"> </v>
      </c>
      <c r="D38" t="str">
        <f t="shared" ref="D38:D69" si="4">IF(A38&lt;&gt;"",IF(ISERR(VLOOKUP($D$2,RolesMatrix_Data,MATCH(A38,RolesMatrix_Skills,0)+2,FALSE))," ",VLOOKUP($D$2,RolesMatrix_Data,MATCH(A38,RolesMatrix_Skills,0)+2,FALSE))," ")</f>
        <v xml:space="preserve"> </v>
      </c>
      <c r="Q38" s="4"/>
      <c r="S38" s="4"/>
      <c r="T38"/>
      <c r="U38" s="33" t="str">
        <f t="shared" si="2"/>
        <v xml:space="preserve"> </v>
      </c>
    </row>
    <row r="39" spans="2:21" x14ac:dyDescent="0.2">
      <c r="B39" t="str" cm="1">
        <f t="array" ref="B39">IF(A39&lt;&gt;"",IFERROR(INDEX(SkillsMatrix_Data,MATCH(1,INDEX((INDEX(SkillsMatrix_Data,,1)=$B$2) * (INDEX(SkillsMatrix_Data,,2)=$C$2),0),0),MATCH(A39,SkillsMatrix_Skills,0)+3)," ")," ")</f>
        <v xml:space="preserve"> </v>
      </c>
      <c r="C39" t="str">
        <f t="shared" si="3"/>
        <v xml:space="preserve"> </v>
      </c>
      <c r="D39" t="str">
        <f t="shared" si="4"/>
        <v xml:space="preserve"> </v>
      </c>
      <c r="Q39" s="4"/>
      <c r="S39" s="4"/>
      <c r="T39"/>
      <c r="U39" s="33" t="str">
        <f t="shared" si="2"/>
        <v xml:space="preserve"> </v>
      </c>
    </row>
    <row r="40" spans="2:21" x14ac:dyDescent="0.2">
      <c r="B40" t="str" cm="1">
        <f t="array" ref="B40">IF(A40&lt;&gt;"",IFERROR(INDEX(SkillsMatrix_Data,MATCH(1,INDEX((INDEX(SkillsMatrix_Data,,1)=$B$2) * (INDEX(SkillsMatrix_Data,,2)=$C$2),0),0),MATCH(A40,SkillsMatrix_Skills,0)+3)," ")," ")</f>
        <v xml:space="preserve"> </v>
      </c>
      <c r="C40" t="str">
        <f t="shared" si="3"/>
        <v xml:space="preserve"> </v>
      </c>
      <c r="D40" t="str">
        <f t="shared" si="4"/>
        <v xml:space="preserve"> </v>
      </c>
      <c r="Q40" s="4"/>
      <c r="S40" s="4"/>
      <c r="T40"/>
      <c r="U40" s="33" t="str">
        <f t="shared" si="2"/>
        <v xml:space="preserve"> </v>
      </c>
    </row>
    <row r="41" spans="2:21" x14ac:dyDescent="0.2">
      <c r="B41" t="str" cm="1">
        <f t="array" ref="B41">IF(A41&lt;&gt;"",IFERROR(INDEX(SkillsMatrix_Data,MATCH(1,INDEX((INDEX(SkillsMatrix_Data,,1)=$B$2) * (INDEX(SkillsMatrix_Data,,2)=$C$2),0),0),MATCH(A41,SkillsMatrix_Skills,0)+3)," ")," ")</f>
        <v xml:space="preserve"> </v>
      </c>
      <c r="C41" t="str">
        <f t="shared" si="3"/>
        <v xml:space="preserve"> </v>
      </c>
      <c r="D41" t="str">
        <f t="shared" si="4"/>
        <v xml:space="preserve"> </v>
      </c>
      <c r="Q41" s="4"/>
      <c r="S41" s="4"/>
      <c r="T41"/>
      <c r="U41" s="33" t="str">
        <f t="shared" si="2"/>
        <v xml:space="preserve"> </v>
      </c>
    </row>
    <row r="42" spans="2:21" x14ac:dyDescent="0.2">
      <c r="B42" t="str" cm="1">
        <f t="array" ref="B42">IF(A42&lt;&gt;"",IFERROR(INDEX(SkillsMatrix_Data,MATCH(1,INDEX((INDEX(SkillsMatrix_Data,,1)=$B$2) * (INDEX(SkillsMatrix_Data,,2)=$C$2),0),0),MATCH(A42,SkillsMatrix_Skills,0)+3)," ")," ")</f>
        <v xml:space="preserve"> </v>
      </c>
      <c r="C42" t="str">
        <f t="shared" si="3"/>
        <v xml:space="preserve"> </v>
      </c>
      <c r="D42" t="str">
        <f t="shared" si="4"/>
        <v xml:space="preserve"> </v>
      </c>
      <c r="Q42" s="4"/>
      <c r="S42" s="4"/>
      <c r="T42"/>
      <c r="U42" s="33" t="str">
        <f t="shared" si="2"/>
        <v xml:space="preserve"> </v>
      </c>
    </row>
    <row r="43" spans="2:21" x14ac:dyDescent="0.2">
      <c r="B43" t="str" cm="1">
        <f t="array" ref="B43">IF(A43&lt;&gt;"",IFERROR(INDEX(SkillsMatrix_Data,MATCH(1,INDEX((INDEX(SkillsMatrix_Data,,1)=$B$2) * (INDEX(SkillsMatrix_Data,,2)=$C$2),0),0),MATCH(A43,SkillsMatrix_Skills,0)+3)," ")," ")</f>
        <v xml:space="preserve"> </v>
      </c>
      <c r="C43" t="str">
        <f t="shared" si="3"/>
        <v xml:space="preserve"> </v>
      </c>
      <c r="D43" t="str">
        <f t="shared" si="4"/>
        <v xml:space="preserve"> </v>
      </c>
      <c r="Q43" s="4"/>
      <c r="S43" s="4"/>
      <c r="T43" s="4"/>
      <c r="U43" s="33" t="str">
        <f t="shared" si="2"/>
        <v xml:space="preserve"> </v>
      </c>
    </row>
    <row r="44" spans="2:21" x14ac:dyDescent="0.2">
      <c r="B44" t="str" cm="1">
        <f t="array" ref="B44">IF(A44&lt;&gt;"",IFERROR(INDEX(SkillsMatrix_Data,MATCH(1,INDEX((INDEX(SkillsMatrix_Data,,1)=$B$2) * (INDEX(SkillsMatrix_Data,,2)=$C$2),0),0),MATCH(A44,SkillsMatrix_Skills,0)+3)," ")," ")</f>
        <v xml:space="preserve"> </v>
      </c>
      <c r="C44" t="str">
        <f t="shared" si="3"/>
        <v xml:space="preserve"> </v>
      </c>
      <c r="D44" t="str">
        <f t="shared" si="4"/>
        <v xml:space="preserve"> </v>
      </c>
      <c r="Q44" s="4"/>
      <c r="S44" s="4"/>
      <c r="T44" s="4"/>
      <c r="U44" s="33" t="str">
        <f t="shared" si="2"/>
        <v xml:space="preserve"> </v>
      </c>
    </row>
    <row r="45" spans="2:21" x14ac:dyDescent="0.2">
      <c r="B45" t="str" cm="1">
        <f t="array" ref="B45">IF(A45&lt;&gt;"",IFERROR(INDEX(SkillsMatrix_Data,MATCH(1,INDEX((INDEX(SkillsMatrix_Data,,1)=$B$2) * (INDEX(SkillsMatrix_Data,,2)=$C$2),0),0),MATCH(A45,SkillsMatrix_Skills,0)+3)," ")," ")</f>
        <v xml:space="preserve"> </v>
      </c>
      <c r="C45" t="str">
        <f t="shared" si="3"/>
        <v xml:space="preserve"> </v>
      </c>
      <c r="D45" t="str">
        <f t="shared" si="4"/>
        <v xml:space="preserve"> </v>
      </c>
      <c r="Q45" s="4"/>
      <c r="S45" s="4"/>
      <c r="T45" s="4"/>
      <c r="U45" s="33" t="str">
        <f t="shared" si="2"/>
        <v xml:space="preserve"> </v>
      </c>
    </row>
    <row r="46" spans="2:21" x14ac:dyDescent="0.2">
      <c r="B46" t="str" cm="1">
        <f t="array" ref="B46">IF(A46&lt;&gt;"",IFERROR(INDEX(SkillsMatrix_Data,MATCH(1,INDEX((INDEX(SkillsMatrix_Data,,1)=$B$2) * (INDEX(SkillsMatrix_Data,,2)=$C$2),0),0),MATCH(A46,SkillsMatrix_Skills,0)+3)," ")," ")</f>
        <v xml:space="preserve"> </v>
      </c>
      <c r="C46" t="str">
        <f t="shared" si="3"/>
        <v xml:space="preserve"> </v>
      </c>
      <c r="D46" t="str">
        <f t="shared" si="4"/>
        <v xml:space="preserve"> </v>
      </c>
      <c r="Q46" s="4"/>
      <c r="S46" s="4"/>
      <c r="T46" s="4"/>
      <c r="U46" s="33" t="str">
        <f t="shared" si="2"/>
        <v xml:space="preserve"> </v>
      </c>
    </row>
    <row r="47" spans="2:21" x14ac:dyDescent="0.2">
      <c r="B47" t="str" cm="1">
        <f t="array" ref="B47">IF(A47&lt;&gt;"",IFERROR(INDEX(SkillsMatrix_Data,MATCH(1,INDEX((INDEX(SkillsMatrix_Data,,1)=$B$2) * (INDEX(SkillsMatrix_Data,,2)=$C$2),0),0),MATCH(A47,SkillsMatrix_Skills,0)+3)," ")," ")</f>
        <v xml:space="preserve"> </v>
      </c>
      <c r="C47" t="str">
        <f t="shared" si="3"/>
        <v xml:space="preserve"> </v>
      </c>
      <c r="D47" t="str">
        <f t="shared" si="4"/>
        <v xml:space="preserve"> </v>
      </c>
      <c r="Q47" s="4"/>
      <c r="S47" s="4"/>
      <c r="T47" s="4"/>
      <c r="U47" s="33" t="str">
        <f t="shared" si="2"/>
        <v xml:space="preserve"> </v>
      </c>
    </row>
    <row r="48" spans="2:21" x14ac:dyDescent="0.2">
      <c r="B48" t="str" cm="1">
        <f t="array" ref="B48">IF(A48&lt;&gt;"",IFERROR(INDEX(SkillsMatrix_Data,MATCH(1,INDEX((INDEX(SkillsMatrix_Data,,1)=$B$2) * (INDEX(SkillsMatrix_Data,,2)=$C$2),0),0),MATCH(A48,SkillsMatrix_Skills,0)+3)," ")," ")</f>
        <v xml:space="preserve"> </v>
      </c>
      <c r="C48" t="str">
        <f t="shared" si="3"/>
        <v xml:space="preserve"> </v>
      </c>
      <c r="D48" t="str">
        <f t="shared" si="4"/>
        <v xml:space="preserve"> </v>
      </c>
      <c r="Q48" s="4"/>
      <c r="S48" s="4"/>
      <c r="T48" s="4"/>
      <c r="U48" s="33" t="str">
        <f t="shared" si="2"/>
        <v xml:space="preserve"> </v>
      </c>
    </row>
    <row r="49" spans="2:21" x14ac:dyDescent="0.2">
      <c r="B49" t="str" cm="1">
        <f t="array" ref="B49">IF(A49&lt;&gt;"",IFERROR(INDEX(SkillsMatrix_Data,MATCH(1,INDEX((INDEX(SkillsMatrix_Data,,1)=$B$2) * (INDEX(SkillsMatrix_Data,,2)=$C$2),0),0),MATCH(A49,SkillsMatrix_Skills,0)+3)," ")," ")</f>
        <v xml:space="preserve"> </v>
      </c>
      <c r="C49" t="str">
        <f t="shared" si="3"/>
        <v xml:space="preserve"> </v>
      </c>
      <c r="D49" t="str">
        <f t="shared" si="4"/>
        <v xml:space="preserve"> </v>
      </c>
      <c r="Q49" s="4"/>
      <c r="S49" s="4"/>
      <c r="T49" s="4"/>
      <c r="U49" s="33" t="str">
        <f t="shared" si="2"/>
        <v xml:space="preserve"> </v>
      </c>
    </row>
    <row r="50" spans="2:21" x14ac:dyDescent="0.2">
      <c r="B50" t="str" cm="1">
        <f t="array" ref="B50">IF(A50&lt;&gt;"",IFERROR(INDEX(SkillsMatrix_Data,MATCH(1,INDEX((INDEX(SkillsMatrix_Data,,1)=$B$2) * (INDEX(SkillsMatrix_Data,,2)=$C$2),0),0),MATCH(A50,SkillsMatrix_Skills,0)+3)," ")," ")</f>
        <v xml:space="preserve"> </v>
      </c>
      <c r="C50" t="str">
        <f t="shared" si="3"/>
        <v xml:space="preserve"> </v>
      </c>
      <c r="D50" t="str">
        <f t="shared" si="4"/>
        <v xml:space="preserve"> </v>
      </c>
      <c r="Q50" s="4"/>
      <c r="S50" s="4"/>
      <c r="T50" s="4"/>
      <c r="U50" s="33" t="str">
        <f t="shared" si="2"/>
        <v xml:space="preserve"> </v>
      </c>
    </row>
    <row r="51" spans="2:21" x14ac:dyDescent="0.2">
      <c r="B51" t="str" cm="1">
        <f t="array" ref="B51">IF(A51&lt;&gt;"",IFERROR(INDEX(SkillsMatrix_Data,MATCH(1,INDEX((INDEX(SkillsMatrix_Data,,1)=$B$2) * (INDEX(SkillsMatrix_Data,,2)=$C$2),0),0),MATCH(A51,SkillsMatrix_Skills,0)+3)," ")," ")</f>
        <v xml:space="preserve"> </v>
      </c>
      <c r="C51" t="str">
        <f t="shared" si="3"/>
        <v xml:space="preserve"> </v>
      </c>
      <c r="D51" t="str">
        <f t="shared" si="4"/>
        <v xml:space="preserve"> </v>
      </c>
      <c r="Q51" s="4"/>
      <c r="S51" s="4"/>
      <c r="T51" s="4"/>
      <c r="U51" s="33" t="str">
        <f t="shared" si="2"/>
        <v xml:space="preserve"> </v>
      </c>
    </row>
    <row r="52" spans="2:21" x14ac:dyDescent="0.2">
      <c r="B52" t="str" cm="1">
        <f t="array" ref="B52">IF(A52&lt;&gt;"",IFERROR(INDEX(SkillsMatrix_Data,MATCH(1,INDEX((INDEX(SkillsMatrix_Data,,1)=$B$2) * (INDEX(SkillsMatrix_Data,,2)=$C$2),0),0),MATCH(A52,SkillsMatrix_Skills,0)+3)," ")," ")</f>
        <v xml:space="preserve"> </v>
      </c>
      <c r="C52" t="str">
        <f t="shared" si="3"/>
        <v xml:space="preserve"> </v>
      </c>
      <c r="D52" t="str">
        <f t="shared" si="4"/>
        <v xml:space="preserve"> </v>
      </c>
      <c r="Q52" s="4"/>
      <c r="S52" s="4"/>
      <c r="T52" s="4"/>
      <c r="U52" s="33" t="str">
        <f t="shared" si="2"/>
        <v xml:space="preserve"> </v>
      </c>
    </row>
    <row r="53" spans="2:21" x14ac:dyDescent="0.2">
      <c r="B53" t="str" cm="1">
        <f t="array" ref="B53">IF(A53&lt;&gt;"",IFERROR(INDEX(SkillsMatrix_Data,MATCH(1,INDEX((INDEX(SkillsMatrix_Data,,1)=$B$2) * (INDEX(SkillsMatrix_Data,,2)=$C$2),0),0),MATCH(A53,SkillsMatrix_Skills,0)+3)," ")," ")</f>
        <v xml:space="preserve"> </v>
      </c>
      <c r="C53" t="str">
        <f t="shared" si="3"/>
        <v xml:space="preserve"> </v>
      </c>
      <c r="D53" t="str">
        <f t="shared" si="4"/>
        <v xml:space="preserve"> </v>
      </c>
      <c r="Q53" s="4"/>
      <c r="S53" s="4"/>
      <c r="T53" s="4"/>
      <c r="U53" s="33" t="str">
        <f t="shared" si="2"/>
        <v xml:space="preserve"> </v>
      </c>
    </row>
    <row r="54" spans="2:21" x14ac:dyDescent="0.2">
      <c r="B54" t="str" cm="1">
        <f t="array" ref="B54">IF(A54&lt;&gt;"",IFERROR(INDEX(SkillsMatrix_Data,MATCH(1,INDEX((INDEX(SkillsMatrix_Data,,1)=$B$2) * (INDEX(SkillsMatrix_Data,,2)=$C$2),0),0),MATCH(A54,SkillsMatrix_Skills,0)+3)," ")," ")</f>
        <v xml:space="preserve"> </v>
      </c>
      <c r="C54" t="str">
        <f t="shared" si="3"/>
        <v xml:space="preserve"> </v>
      </c>
      <c r="D54" t="str">
        <f t="shared" si="4"/>
        <v xml:space="preserve"> </v>
      </c>
      <c r="Q54" s="4"/>
      <c r="S54" s="4"/>
      <c r="T54" s="4"/>
      <c r="U54" s="33" t="str">
        <f t="shared" si="2"/>
        <v xml:space="preserve"> </v>
      </c>
    </row>
    <row r="55" spans="2:21" x14ac:dyDescent="0.2">
      <c r="B55" t="str" cm="1">
        <f t="array" ref="B55">IF(A55&lt;&gt;"",IFERROR(INDEX(SkillsMatrix_Data,MATCH(1,INDEX((INDEX(SkillsMatrix_Data,,1)=$B$2) * (INDEX(SkillsMatrix_Data,,2)=$C$2),0),0),MATCH(A55,SkillsMatrix_Skills,0)+3)," ")," ")</f>
        <v xml:space="preserve"> </v>
      </c>
      <c r="C55" t="str">
        <f t="shared" si="3"/>
        <v xml:space="preserve"> </v>
      </c>
      <c r="D55" t="str">
        <f t="shared" si="4"/>
        <v xml:space="preserve"> </v>
      </c>
      <c r="Q55" s="4"/>
      <c r="S55" s="4"/>
      <c r="T55" s="4"/>
      <c r="U55" s="33" t="str">
        <f t="shared" si="2"/>
        <v xml:space="preserve"> </v>
      </c>
    </row>
    <row r="56" spans="2:21" x14ac:dyDescent="0.2">
      <c r="B56" t="str" cm="1">
        <f t="array" ref="B56">IF(A56&lt;&gt;"",IFERROR(INDEX(SkillsMatrix_Data,MATCH(1,INDEX((INDEX(SkillsMatrix_Data,,1)=$B$2) * (INDEX(SkillsMatrix_Data,,2)=$C$2),0),0),MATCH(A56,SkillsMatrix_Skills,0)+3)," ")," ")</f>
        <v xml:space="preserve"> </v>
      </c>
      <c r="C56" t="str">
        <f t="shared" si="3"/>
        <v xml:space="preserve"> </v>
      </c>
      <c r="D56" t="str">
        <f t="shared" si="4"/>
        <v xml:space="preserve"> </v>
      </c>
      <c r="Q56" s="4"/>
      <c r="S56" s="4"/>
      <c r="T56" s="4"/>
      <c r="U56" s="33" t="str">
        <f t="shared" si="2"/>
        <v xml:space="preserve"> </v>
      </c>
    </row>
    <row r="57" spans="2:21" x14ac:dyDescent="0.2">
      <c r="B57" t="str" cm="1">
        <f t="array" ref="B57">IF(A57&lt;&gt;"",IFERROR(INDEX(SkillsMatrix_Data,MATCH(1,INDEX((INDEX(SkillsMatrix_Data,,1)=$B$2) * (INDEX(SkillsMatrix_Data,,2)=$C$2),0),0),MATCH(A57,SkillsMatrix_Skills,0)+3)," ")," ")</f>
        <v xml:space="preserve"> </v>
      </c>
      <c r="C57" t="str">
        <f t="shared" si="3"/>
        <v xml:space="preserve"> </v>
      </c>
      <c r="D57" t="str">
        <f t="shared" si="4"/>
        <v xml:space="preserve"> </v>
      </c>
      <c r="Q57" s="4"/>
      <c r="S57" s="4"/>
      <c r="T57" s="4"/>
      <c r="U57" s="33" t="str">
        <f t="shared" si="2"/>
        <v xml:space="preserve"> </v>
      </c>
    </row>
    <row r="58" spans="2:21" x14ac:dyDescent="0.2">
      <c r="B58" t="str" cm="1">
        <f t="array" ref="B58">IF(A58&lt;&gt;"",IFERROR(INDEX(SkillsMatrix_Data,MATCH(1,INDEX((INDEX(SkillsMatrix_Data,,1)=$B$2) * (INDEX(SkillsMatrix_Data,,2)=$C$2),0),0),MATCH(A58,SkillsMatrix_Skills,0)+3)," ")," ")</f>
        <v xml:space="preserve"> </v>
      </c>
      <c r="C58" t="str">
        <f t="shared" si="3"/>
        <v xml:space="preserve"> </v>
      </c>
      <c r="D58" t="str">
        <f t="shared" si="4"/>
        <v xml:space="preserve"> </v>
      </c>
      <c r="Q58" s="4"/>
      <c r="S58" s="4"/>
      <c r="T58" s="4"/>
      <c r="U58" s="33" t="str">
        <f t="shared" si="2"/>
        <v xml:space="preserve"> </v>
      </c>
    </row>
    <row r="59" spans="2:21" x14ac:dyDescent="0.2">
      <c r="B59" t="str" cm="1">
        <f t="array" ref="B59">IF(A59&lt;&gt;"",IFERROR(INDEX(SkillsMatrix_Data,MATCH(1,INDEX((INDEX(SkillsMatrix_Data,,1)=$B$2) * (INDEX(SkillsMatrix_Data,,2)=$C$2),0),0),MATCH(A59,SkillsMatrix_Skills,0)+3)," ")," ")</f>
        <v xml:space="preserve"> </v>
      </c>
      <c r="C59" t="str">
        <f t="shared" si="3"/>
        <v xml:space="preserve"> </v>
      </c>
      <c r="D59" t="str">
        <f t="shared" si="4"/>
        <v xml:space="preserve"> </v>
      </c>
      <c r="Q59" s="4"/>
      <c r="S59" s="4"/>
      <c r="T59" s="4"/>
      <c r="U59" s="33" t="str">
        <f t="shared" si="2"/>
        <v xml:space="preserve"> </v>
      </c>
    </row>
    <row r="60" spans="2:21" x14ac:dyDescent="0.2">
      <c r="B60" t="str" cm="1">
        <f t="array" ref="B60">IF(A60&lt;&gt;"",IFERROR(INDEX(SkillsMatrix_Data,MATCH(1,INDEX((INDEX(SkillsMatrix_Data,,1)=$B$2) * (INDEX(SkillsMatrix_Data,,2)=$C$2),0),0),MATCH(A60,SkillsMatrix_Skills,0)+3)," ")," ")</f>
        <v xml:space="preserve"> </v>
      </c>
      <c r="C60" t="str">
        <f t="shared" si="3"/>
        <v xml:space="preserve"> </v>
      </c>
      <c r="D60" t="str">
        <f t="shared" si="4"/>
        <v xml:space="preserve"> </v>
      </c>
      <c r="Q60" s="4"/>
      <c r="S60" s="4"/>
      <c r="T60" s="4"/>
      <c r="U60" s="33" t="str">
        <f t="shared" si="2"/>
        <v xml:space="preserve"> </v>
      </c>
    </row>
    <row r="61" spans="2:21" x14ac:dyDescent="0.2">
      <c r="B61" t="str" cm="1">
        <f t="array" ref="B61">IF(A61&lt;&gt;"",IFERROR(INDEX(SkillsMatrix_Data,MATCH(1,INDEX((INDEX(SkillsMatrix_Data,,1)=$B$2) * (INDEX(SkillsMatrix_Data,,2)=$C$2),0),0),MATCH(A61,SkillsMatrix_Skills,0)+3)," ")," ")</f>
        <v xml:space="preserve"> </v>
      </c>
      <c r="C61" t="str">
        <f t="shared" si="3"/>
        <v xml:space="preserve"> </v>
      </c>
      <c r="D61" t="str">
        <f t="shared" si="4"/>
        <v xml:space="preserve"> </v>
      </c>
      <c r="Q61" s="4"/>
      <c r="S61" s="4"/>
      <c r="T61" s="4"/>
      <c r="U61" s="33" t="str">
        <f t="shared" si="2"/>
        <v xml:space="preserve"> </v>
      </c>
    </row>
    <row r="62" spans="2:21" x14ac:dyDescent="0.2">
      <c r="B62" t="str" cm="1">
        <f t="array" ref="B62">IF(A62&lt;&gt;"",IFERROR(INDEX(SkillsMatrix_Data,MATCH(1,INDEX((INDEX(SkillsMatrix_Data,,1)=$B$2) * (INDEX(SkillsMatrix_Data,,2)=$C$2),0),0),MATCH(A62,SkillsMatrix_Skills,0)+3)," ")," ")</f>
        <v xml:space="preserve"> </v>
      </c>
      <c r="C62" t="str">
        <f t="shared" si="3"/>
        <v xml:space="preserve"> </v>
      </c>
      <c r="D62" t="str">
        <f t="shared" si="4"/>
        <v xml:space="preserve"> </v>
      </c>
      <c r="Q62" s="4"/>
      <c r="S62" s="4"/>
      <c r="T62" s="4"/>
      <c r="U62" s="33" t="str">
        <f t="shared" si="2"/>
        <v xml:space="preserve"> </v>
      </c>
    </row>
    <row r="63" spans="2:21" x14ac:dyDescent="0.2">
      <c r="B63" t="str" cm="1">
        <f t="array" ref="B63">IF(A63&lt;&gt;"",IFERROR(INDEX(SkillsMatrix_Data,MATCH(1,INDEX((INDEX(SkillsMatrix_Data,,1)=$B$2) * (INDEX(SkillsMatrix_Data,,2)=$C$2),0),0),MATCH(A63,SkillsMatrix_Skills,0)+3)," ")," ")</f>
        <v xml:space="preserve"> </v>
      </c>
      <c r="C63" t="str">
        <f t="shared" si="3"/>
        <v xml:space="preserve"> </v>
      </c>
      <c r="D63" t="str">
        <f t="shared" si="4"/>
        <v xml:space="preserve"> </v>
      </c>
      <c r="Q63" s="4"/>
      <c r="S63" s="4"/>
      <c r="T63" s="4"/>
      <c r="U63" s="33" t="str">
        <f t="shared" si="2"/>
        <v xml:space="preserve"> </v>
      </c>
    </row>
    <row r="64" spans="2:21" x14ac:dyDescent="0.2">
      <c r="B64" t="str" cm="1">
        <f t="array" ref="B64">IF(A64&lt;&gt;"",IFERROR(INDEX(SkillsMatrix_Data,MATCH(1,INDEX((INDEX(SkillsMatrix_Data,,1)=$B$2) * (INDEX(SkillsMatrix_Data,,2)=$C$2),0),0),MATCH(A64,SkillsMatrix_Skills,0)+3)," ")," ")</f>
        <v xml:space="preserve"> </v>
      </c>
      <c r="C64" t="str">
        <f t="shared" si="3"/>
        <v xml:space="preserve"> </v>
      </c>
      <c r="D64" t="str">
        <f t="shared" si="4"/>
        <v xml:space="preserve"> </v>
      </c>
      <c r="Q64" s="4"/>
      <c r="S64" s="4"/>
      <c r="T64" s="4"/>
      <c r="U64" s="33" t="str">
        <f t="shared" si="2"/>
        <v xml:space="preserve"> </v>
      </c>
    </row>
    <row r="65" spans="2:21" x14ac:dyDescent="0.2">
      <c r="B65" t="str" cm="1">
        <f t="array" ref="B65">IF(A65&lt;&gt;"",IFERROR(INDEX(SkillsMatrix_Data,MATCH(1,INDEX((INDEX(SkillsMatrix_Data,,1)=$B$2) * (INDEX(SkillsMatrix_Data,,2)=$C$2),0),0),MATCH(A65,SkillsMatrix_Skills,0)+3)," ")," ")</f>
        <v xml:space="preserve"> </v>
      </c>
      <c r="C65" t="str">
        <f t="shared" si="3"/>
        <v xml:space="preserve"> </v>
      </c>
      <c r="D65" t="str">
        <f t="shared" si="4"/>
        <v xml:space="preserve"> </v>
      </c>
      <c r="Q65" s="4"/>
      <c r="S65" s="4"/>
      <c r="T65" s="4"/>
      <c r="U65" s="33" t="str">
        <f t="shared" si="2"/>
        <v xml:space="preserve"> </v>
      </c>
    </row>
    <row r="66" spans="2:21" x14ac:dyDescent="0.2">
      <c r="B66" t="str" cm="1">
        <f t="array" ref="B66">IF(A66&lt;&gt;"",IFERROR(INDEX(SkillsMatrix_Data,MATCH(1,INDEX((INDEX(SkillsMatrix_Data,,1)=$B$2) * (INDEX(SkillsMatrix_Data,,2)=$C$2),0),0),MATCH(A66,SkillsMatrix_Skills,0)+3)," ")," ")</f>
        <v xml:space="preserve"> </v>
      </c>
      <c r="C66" t="str">
        <f t="shared" si="3"/>
        <v xml:space="preserve"> </v>
      </c>
      <c r="D66" t="str">
        <f t="shared" si="4"/>
        <v xml:space="preserve"> </v>
      </c>
      <c r="Q66" s="4"/>
      <c r="S66" s="4"/>
      <c r="T66" s="4"/>
      <c r="U66" s="33" t="str">
        <f t="shared" si="2"/>
        <v xml:space="preserve"> </v>
      </c>
    </row>
    <row r="67" spans="2:21" x14ac:dyDescent="0.2">
      <c r="B67" t="str" cm="1">
        <f t="array" ref="B67">IF(A67&lt;&gt;"",IFERROR(INDEX(SkillsMatrix_Data,MATCH(1,INDEX((INDEX(SkillsMatrix_Data,,1)=$B$2) * (INDEX(SkillsMatrix_Data,,2)=$C$2),0),0),MATCH(A67,SkillsMatrix_Skills,0)+3)," ")," ")</f>
        <v xml:space="preserve"> </v>
      </c>
      <c r="C67" t="str">
        <f t="shared" si="3"/>
        <v xml:space="preserve"> </v>
      </c>
      <c r="D67" t="str">
        <f t="shared" si="4"/>
        <v xml:space="preserve"> </v>
      </c>
      <c r="Q67" s="4"/>
      <c r="S67" s="4"/>
      <c r="T67" s="4"/>
      <c r="U67" s="33" t="str">
        <f t="shared" si="2"/>
        <v xml:space="preserve"> </v>
      </c>
    </row>
    <row r="68" spans="2:21" x14ac:dyDescent="0.2">
      <c r="B68" t="str" cm="1">
        <f t="array" ref="B68">IF(A68&lt;&gt;"",IFERROR(INDEX(SkillsMatrix_Data,MATCH(1,INDEX((INDEX(SkillsMatrix_Data,,1)=$B$2) * (INDEX(SkillsMatrix_Data,,2)=$C$2),0),0),MATCH(A68,SkillsMatrix_Skills,0)+3)," ")," ")</f>
        <v xml:space="preserve"> </v>
      </c>
      <c r="C68" t="str">
        <f t="shared" si="3"/>
        <v xml:space="preserve"> </v>
      </c>
      <c r="D68" t="str">
        <f t="shared" si="4"/>
        <v xml:space="preserve"> </v>
      </c>
      <c r="Q68" s="4"/>
      <c r="S68" s="4"/>
      <c r="T68" s="4"/>
      <c r="U68" s="33" t="str">
        <f t="shared" si="2"/>
        <v xml:space="preserve"> </v>
      </c>
    </row>
    <row r="69" spans="2:21" x14ac:dyDescent="0.2">
      <c r="B69" t="str" cm="1">
        <f t="array" ref="B69">IF(A69&lt;&gt;"",IFERROR(INDEX(SkillsMatrix_Data,MATCH(1,INDEX((INDEX(SkillsMatrix_Data,,1)=$B$2) * (INDEX(SkillsMatrix_Data,,2)=$C$2),0),0),MATCH(A69,SkillsMatrix_Skills,0)+3)," ")," ")</f>
        <v xml:space="preserve"> </v>
      </c>
      <c r="C69" t="str">
        <f t="shared" si="3"/>
        <v xml:space="preserve"> </v>
      </c>
      <c r="D69" t="str">
        <f t="shared" si="4"/>
        <v xml:space="preserve"> </v>
      </c>
      <c r="Q69" s="4"/>
      <c r="S69" s="4"/>
      <c r="T69" s="4"/>
      <c r="U69" s="33" t="str">
        <f t="shared" si="2"/>
        <v xml:space="preserve"> </v>
      </c>
    </row>
    <row r="70" spans="2:21" x14ac:dyDescent="0.2">
      <c r="B70" t="str" cm="1">
        <f t="array" ref="B70">IF(A70&lt;&gt;"",IFERROR(INDEX(SkillsMatrix_Data,MATCH(1,INDEX((INDEX(SkillsMatrix_Data,,1)=$B$2) * (INDEX(SkillsMatrix_Data,,2)=$C$2),0),0),MATCH(A70,SkillsMatrix_Skills,0)+3)," ")," ")</f>
        <v xml:space="preserve"> </v>
      </c>
      <c r="C70" t="str">
        <f t="shared" ref="C70:C100" si="5">IF(A70&lt;&gt;"",IF(ISERR(VLOOKUP($C$2,RolesMatrix_Data,MATCH(A70,RolesMatrix_Skills,0)+2,FALSE))," ",VLOOKUP($C$2,RolesMatrix_Data,MATCH(A70,RolesMatrix_Skills,0)+2,FALSE))," ")</f>
        <v xml:space="preserve"> </v>
      </c>
      <c r="D70" t="str">
        <f t="shared" ref="D70:D100" si="6">IF(A70&lt;&gt;"",IF(ISERR(VLOOKUP($D$2,RolesMatrix_Data,MATCH(A70,RolesMatrix_Skills,0)+2,FALSE))," ",VLOOKUP($D$2,RolesMatrix_Data,MATCH(A70,RolesMatrix_Skills,0)+2,FALSE))," ")</f>
        <v xml:space="preserve"> </v>
      </c>
      <c r="Q70" s="4"/>
      <c r="S70" s="4"/>
      <c r="T70" s="4"/>
      <c r="U70" s="33" t="str">
        <f t="shared" si="2"/>
        <v xml:space="preserve"> </v>
      </c>
    </row>
    <row r="71" spans="2:21" x14ac:dyDescent="0.2">
      <c r="B71" t="str" cm="1">
        <f t="array" ref="B71">IF(A71&lt;&gt;"",IFERROR(INDEX(SkillsMatrix_Data,MATCH(1,INDEX((INDEX(SkillsMatrix_Data,,1)=$B$2) * (INDEX(SkillsMatrix_Data,,2)=$C$2),0),0),MATCH(A71,SkillsMatrix_Skills,0)+3)," ")," ")</f>
        <v xml:space="preserve"> </v>
      </c>
      <c r="C71" t="str">
        <f t="shared" si="5"/>
        <v xml:space="preserve"> </v>
      </c>
      <c r="D71" t="str">
        <f t="shared" si="6"/>
        <v xml:space="preserve"> </v>
      </c>
      <c r="Q71" s="4"/>
      <c r="S71" s="4"/>
      <c r="T71" s="4"/>
      <c r="U71" s="33" t="str">
        <f t="shared" si="2"/>
        <v xml:space="preserve"> </v>
      </c>
    </row>
    <row r="72" spans="2:21" x14ac:dyDescent="0.2">
      <c r="B72" t="str" cm="1">
        <f t="array" ref="B72">IF(A72&lt;&gt;"",IFERROR(INDEX(SkillsMatrix_Data,MATCH(1,INDEX((INDEX(SkillsMatrix_Data,,1)=$B$2) * (INDEX(SkillsMatrix_Data,,2)=$C$2),0),0),MATCH(A72,SkillsMatrix_Skills,0)+3)," ")," ")</f>
        <v xml:space="preserve"> </v>
      </c>
      <c r="C72" t="str">
        <f t="shared" si="5"/>
        <v xml:space="preserve"> </v>
      </c>
      <c r="D72" t="str">
        <f t="shared" si="6"/>
        <v xml:space="preserve"> </v>
      </c>
      <c r="Q72" s="4"/>
      <c r="S72" s="4"/>
      <c r="T72" s="4"/>
      <c r="U72" s="33" t="str">
        <f t="shared" si="2"/>
        <v xml:space="preserve"> </v>
      </c>
    </row>
    <row r="73" spans="2:21" x14ac:dyDescent="0.2">
      <c r="B73" t="str" cm="1">
        <f t="array" ref="B73">IF(A73&lt;&gt;"",IFERROR(INDEX(SkillsMatrix_Data,MATCH(1,INDEX((INDEX(SkillsMatrix_Data,,1)=$B$2) * (INDEX(SkillsMatrix_Data,,2)=$C$2),0),0),MATCH(A73,SkillsMatrix_Skills,0)+3)," ")," ")</f>
        <v xml:space="preserve"> </v>
      </c>
      <c r="C73" t="str">
        <f t="shared" si="5"/>
        <v xml:space="preserve"> </v>
      </c>
      <c r="D73" t="str">
        <f t="shared" si="6"/>
        <v xml:space="preserve"> </v>
      </c>
      <c r="Q73" s="4"/>
      <c r="S73" s="4"/>
      <c r="T73" s="4"/>
      <c r="U73" s="33" t="str">
        <f t="shared" si="2"/>
        <v xml:space="preserve"> </v>
      </c>
    </row>
    <row r="74" spans="2:21" x14ac:dyDescent="0.2">
      <c r="B74" t="str" cm="1">
        <f t="array" ref="B74">IF(A74&lt;&gt;"",IFERROR(INDEX(SkillsMatrix_Data,MATCH(1,INDEX((INDEX(SkillsMatrix_Data,,1)=$B$2) * (INDEX(SkillsMatrix_Data,,2)=$C$2),0),0),MATCH(A74,SkillsMatrix_Skills,0)+3)," ")," ")</f>
        <v xml:space="preserve"> </v>
      </c>
      <c r="C74" t="str">
        <f t="shared" si="5"/>
        <v xml:space="preserve"> </v>
      </c>
      <c r="D74" t="str">
        <f t="shared" si="6"/>
        <v xml:space="preserve"> </v>
      </c>
      <c r="Q74" s="4"/>
      <c r="S74" s="4"/>
      <c r="T74" s="4"/>
      <c r="U74" s="33" t="str">
        <f t="shared" si="2"/>
        <v xml:space="preserve"> </v>
      </c>
    </row>
    <row r="75" spans="2:21" x14ac:dyDescent="0.2">
      <c r="B75" t="str" cm="1">
        <f t="array" ref="B75">IF(A75&lt;&gt;"",IFERROR(INDEX(SkillsMatrix_Data,MATCH(1,INDEX((INDEX(SkillsMatrix_Data,,1)=$B$2) * (INDEX(SkillsMatrix_Data,,2)=$C$2),0),0),MATCH(A75,SkillsMatrix_Skills,0)+3)," ")," ")</f>
        <v xml:space="preserve"> </v>
      </c>
      <c r="C75" t="str">
        <f t="shared" si="5"/>
        <v xml:space="preserve"> </v>
      </c>
      <c r="D75" t="str">
        <f t="shared" si="6"/>
        <v xml:space="preserve"> </v>
      </c>
      <c r="Q75" s="4"/>
      <c r="S75" s="4"/>
      <c r="T75" s="4"/>
      <c r="U75" s="33" t="str">
        <f t="shared" si="2"/>
        <v xml:space="preserve"> </v>
      </c>
    </row>
    <row r="76" spans="2:21" x14ac:dyDescent="0.2">
      <c r="B76" t="str" cm="1">
        <f t="array" ref="B76">IF(A76&lt;&gt;"",IFERROR(INDEX(SkillsMatrix_Data,MATCH(1,INDEX((INDEX(SkillsMatrix_Data,,1)=$B$2) * (INDEX(SkillsMatrix_Data,,2)=$C$2),0),0),MATCH(A76,SkillsMatrix_Skills,0)+3)," ")," ")</f>
        <v xml:space="preserve"> </v>
      </c>
      <c r="C76" t="str">
        <f t="shared" si="5"/>
        <v xml:space="preserve"> </v>
      </c>
      <c r="D76" t="str">
        <f t="shared" si="6"/>
        <v xml:space="preserve"> </v>
      </c>
      <c r="Q76" s="4"/>
      <c r="S76" s="4"/>
      <c r="T76" s="4"/>
      <c r="U76" s="33" t="str">
        <f t="shared" si="2"/>
        <v xml:space="preserve"> </v>
      </c>
    </row>
    <row r="77" spans="2:21" x14ac:dyDescent="0.2">
      <c r="B77" t="str" cm="1">
        <f t="array" ref="B77">IF(A77&lt;&gt;"",IFERROR(INDEX(SkillsMatrix_Data,MATCH(1,INDEX((INDEX(SkillsMatrix_Data,,1)=$B$2) * (INDEX(SkillsMatrix_Data,,2)=$C$2),0),0),MATCH(A77,SkillsMatrix_Skills,0)+3)," ")," ")</f>
        <v xml:space="preserve"> </v>
      </c>
      <c r="C77" t="str">
        <f t="shared" si="5"/>
        <v xml:space="preserve"> </v>
      </c>
      <c r="D77" t="str">
        <f t="shared" si="6"/>
        <v xml:space="preserve"> </v>
      </c>
      <c r="Q77" s="4"/>
      <c r="S77" s="4"/>
      <c r="T77" s="4"/>
      <c r="U77" s="33" t="str">
        <f t="shared" si="2"/>
        <v xml:space="preserve"> </v>
      </c>
    </row>
    <row r="78" spans="2:21" x14ac:dyDescent="0.2">
      <c r="B78" t="str" cm="1">
        <f t="array" ref="B78">IF(A78&lt;&gt;"",IFERROR(INDEX(SkillsMatrix_Data,MATCH(1,INDEX((INDEX(SkillsMatrix_Data,,1)=$B$2) * (INDEX(SkillsMatrix_Data,,2)=$C$2),0),0),MATCH(A78,SkillsMatrix_Skills,0)+3)," ")," ")</f>
        <v xml:space="preserve"> </v>
      </c>
      <c r="C78" t="str">
        <f t="shared" si="5"/>
        <v xml:space="preserve"> </v>
      </c>
      <c r="D78" t="str">
        <f t="shared" si="6"/>
        <v xml:space="preserve"> </v>
      </c>
      <c r="Q78" s="4"/>
      <c r="S78" s="4"/>
      <c r="T78" s="4"/>
      <c r="U78" s="33" t="str">
        <f t="shared" si="2"/>
        <v xml:space="preserve"> </v>
      </c>
    </row>
    <row r="79" spans="2:21" x14ac:dyDescent="0.2">
      <c r="B79" t="str" cm="1">
        <f t="array" ref="B79">IF(A79&lt;&gt;"",IFERROR(INDEX(SkillsMatrix_Data,MATCH(1,INDEX((INDEX(SkillsMatrix_Data,,1)=$B$2) * (INDEX(SkillsMatrix_Data,,2)=$C$2),0),0),MATCH(A79,SkillsMatrix_Skills,0)+3)," ")," ")</f>
        <v xml:space="preserve"> </v>
      </c>
      <c r="C79" t="str">
        <f t="shared" si="5"/>
        <v xml:space="preserve"> </v>
      </c>
      <c r="D79" t="str">
        <f t="shared" si="6"/>
        <v xml:space="preserve"> </v>
      </c>
      <c r="Q79" s="4"/>
      <c r="S79" s="4"/>
      <c r="T79" s="4"/>
      <c r="U79" s="33" t="str">
        <f t="shared" si="2"/>
        <v xml:space="preserve"> </v>
      </c>
    </row>
    <row r="80" spans="2:21" x14ac:dyDescent="0.2">
      <c r="B80" t="str" cm="1">
        <f t="array" ref="B80">IF(A80&lt;&gt;"",IFERROR(INDEX(SkillsMatrix_Data,MATCH(1,INDEX((INDEX(SkillsMatrix_Data,,1)=$B$2) * (INDEX(SkillsMatrix_Data,,2)=$C$2),0),0),MATCH(A80,SkillsMatrix_Skills,0)+3)," ")," ")</f>
        <v xml:space="preserve"> </v>
      </c>
      <c r="C80" t="str">
        <f t="shared" si="5"/>
        <v xml:space="preserve"> </v>
      </c>
      <c r="D80" t="str">
        <f t="shared" si="6"/>
        <v xml:space="preserve"> </v>
      </c>
      <c r="Q80" s="4"/>
      <c r="S80" s="4"/>
      <c r="T80" s="4"/>
      <c r="U80" s="33" t="str">
        <f t="shared" si="2"/>
        <v xml:space="preserve"> </v>
      </c>
    </row>
    <row r="81" spans="2:21" x14ac:dyDescent="0.2">
      <c r="B81" t="str" cm="1">
        <f t="array" ref="B81">IF(A81&lt;&gt;"",IFERROR(INDEX(SkillsMatrix_Data,MATCH(1,INDEX((INDEX(SkillsMatrix_Data,,1)=$B$2) * (INDEX(SkillsMatrix_Data,,2)=$C$2),0),0),MATCH(A81,SkillsMatrix_Skills,0)+3)," ")," ")</f>
        <v xml:space="preserve"> </v>
      </c>
      <c r="C81" t="str">
        <f t="shared" si="5"/>
        <v xml:space="preserve"> </v>
      </c>
      <c r="D81" t="str">
        <f t="shared" si="6"/>
        <v xml:space="preserve"> </v>
      </c>
      <c r="Q81" s="4"/>
      <c r="S81" s="4"/>
      <c r="T81" s="4"/>
      <c r="U81" s="33" t="str">
        <f t="shared" si="2"/>
        <v xml:space="preserve"> </v>
      </c>
    </row>
    <row r="82" spans="2:21" x14ac:dyDescent="0.2">
      <c r="B82" t="str" cm="1">
        <f t="array" ref="B82">IF(A82&lt;&gt;"",IFERROR(INDEX(SkillsMatrix_Data,MATCH(1,INDEX((INDEX(SkillsMatrix_Data,,1)=$B$2) * (INDEX(SkillsMatrix_Data,,2)=$C$2),0),0),MATCH(A82,SkillsMatrix_Skills,0)+3)," ")," ")</f>
        <v xml:space="preserve"> </v>
      </c>
      <c r="C82" t="str">
        <f t="shared" si="5"/>
        <v xml:space="preserve"> </v>
      </c>
      <c r="D82" t="str">
        <f t="shared" si="6"/>
        <v xml:space="preserve"> </v>
      </c>
      <c r="Q82" s="4"/>
      <c r="S82" s="4"/>
      <c r="T82" s="4"/>
      <c r="U82" s="33" t="str">
        <f t="shared" si="2"/>
        <v xml:space="preserve"> </v>
      </c>
    </row>
    <row r="83" spans="2:21" x14ac:dyDescent="0.2">
      <c r="B83" t="str" cm="1">
        <f t="array" ref="B83">IF(A83&lt;&gt;"",IFERROR(INDEX(SkillsMatrix_Data,MATCH(1,INDEX((INDEX(SkillsMatrix_Data,,1)=$B$2) * (INDEX(SkillsMatrix_Data,,2)=$C$2),0),0),MATCH(A83,SkillsMatrix_Skills,0)+3)," ")," ")</f>
        <v xml:space="preserve"> </v>
      </c>
      <c r="C83" t="str">
        <f t="shared" si="5"/>
        <v xml:space="preserve"> </v>
      </c>
      <c r="D83" t="str">
        <f t="shared" si="6"/>
        <v xml:space="preserve"> </v>
      </c>
      <c r="Q83" s="4"/>
      <c r="S83" s="4"/>
      <c r="T83" s="4"/>
      <c r="U83" s="33" t="str">
        <f t="shared" si="2"/>
        <v xml:space="preserve"> </v>
      </c>
    </row>
    <row r="84" spans="2:21" x14ac:dyDescent="0.2">
      <c r="B84" t="str" cm="1">
        <f t="array" ref="B84">IF(A84&lt;&gt;"",IFERROR(INDEX(SkillsMatrix_Data,MATCH(1,INDEX((INDEX(SkillsMatrix_Data,,1)=$B$2) * (INDEX(SkillsMatrix_Data,,2)=$C$2),0),0),MATCH(A84,SkillsMatrix_Skills,0)+3)," ")," ")</f>
        <v xml:space="preserve"> </v>
      </c>
      <c r="C84" t="str">
        <f t="shared" si="5"/>
        <v xml:space="preserve"> </v>
      </c>
      <c r="D84" t="str">
        <f t="shared" si="6"/>
        <v xml:space="preserve"> </v>
      </c>
      <c r="Q84" s="4"/>
      <c r="S84" s="4"/>
      <c r="T84" s="4"/>
      <c r="U84" s="33" t="str">
        <f t="shared" si="2"/>
        <v xml:space="preserve"> </v>
      </c>
    </row>
    <row r="85" spans="2:21" x14ac:dyDescent="0.2">
      <c r="B85" t="str" cm="1">
        <f t="array" ref="B85">IF(A85&lt;&gt;"",IFERROR(INDEX(SkillsMatrix_Data,MATCH(1,INDEX((INDEX(SkillsMatrix_Data,,1)=$B$2) * (INDEX(SkillsMatrix_Data,,2)=$C$2),0),0),MATCH(A85,SkillsMatrix_Skills,0)+3)," ")," ")</f>
        <v xml:space="preserve"> </v>
      </c>
      <c r="C85" t="str">
        <f t="shared" si="5"/>
        <v xml:space="preserve"> </v>
      </c>
      <c r="D85" t="str">
        <f t="shared" si="6"/>
        <v xml:space="preserve"> </v>
      </c>
      <c r="Q85" s="4"/>
      <c r="S85" s="4"/>
      <c r="T85" s="4"/>
      <c r="U85" s="33" t="str">
        <f t="shared" si="2"/>
        <v xml:space="preserve"> </v>
      </c>
    </row>
    <row r="86" spans="2:21" x14ac:dyDescent="0.2">
      <c r="B86" t="str" cm="1">
        <f t="array" ref="B86">IF(A86&lt;&gt;"",IFERROR(INDEX(SkillsMatrix_Data,MATCH(1,INDEX((INDEX(SkillsMatrix_Data,,1)=$B$2) * (INDEX(SkillsMatrix_Data,,2)=$C$2),0),0),MATCH(A86,SkillsMatrix_Skills,0)+3)," ")," ")</f>
        <v xml:space="preserve"> </v>
      </c>
      <c r="C86" t="str">
        <f t="shared" si="5"/>
        <v xml:space="preserve"> </v>
      </c>
      <c r="D86" t="str">
        <f t="shared" si="6"/>
        <v xml:space="preserve"> </v>
      </c>
      <c r="Q86" s="4"/>
      <c r="S86" s="4"/>
      <c r="T86" s="4"/>
      <c r="U86" s="33" t="str">
        <f t="shared" si="2"/>
        <v xml:space="preserve"> </v>
      </c>
    </row>
    <row r="87" spans="2:21" x14ac:dyDescent="0.2">
      <c r="B87" t="str" cm="1">
        <f t="array" ref="B87">IF(A87&lt;&gt;"",IFERROR(INDEX(SkillsMatrix_Data,MATCH(1,INDEX((INDEX(SkillsMatrix_Data,,1)=$B$2) * (INDEX(SkillsMatrix_Data,,2)=$C$2),0),0),MATCH(A87,SkillsMatrix_Skills,0)+3)," ")," ")</f>
        <v xml:space="preserve"> </v>
      </c>
      <c r="C87" t="str">
        <f t="shared" si="5"/>
        <v xml:space="preserve"> </v>
      </c>
      <c r="D87" t="str">
        <f t="shared" si="6"/>
        <v xml:space="preserve"> </v>
      </c>
      <c r="Q87" s="4"/>
      <c r="S87" s="4"/>
      <c r="T87" s="4"/>
      <c r="U87" s="33" t="str">
        <f t="shared" si="2"/>
        <v xml:space="preserve"> </v>
      </c>
    </row>
    <row r="88" spans="2:21" x14ac:dyDescent="0.2">
      <c r="B88" t="str" cm="1">
        <f t="array" ref="B88">IF(A88&lt;&gt;"",IFERROR(INDEX(SkillsMatrix_Data,MATCH(1,INDEX((INDEX(SkillsMatrix_Data,,1)=$B$2) * (INDEX(SkillsMatrix_Data,,2)=$C$2),0),0),MATCH(A88,SkillsMatrix_Skills,0)+3)," ")," ")</f>
        <v xml:space="preserve"> </v>
      </c>
      <c r="C88" t="str">
        <f t="shared" si="5"/>
        <v xml:space="preserve"> </v>
      </c>
      <c r="D88" t="str">
        <f t="shared" si="6"/>
        <v xml:space="preserve"> </v>
      </c>
      <c r="Q88" s="4"/>
      <c r="S88" s="4"/>
      <c r="T88" s="4"/>
      <c r="U88" s="33" t="str">
        <f t="shared" si="2"/>
        <v xml:space="preserve"> </v>
      </c>
    </row>
    <row r="89" spans="2:21" x14ac:dyDescent="0.2">
      <c r="B89" t="str" cm="1">
        <f t="array" ref="B89">IF(A89&lt;&gt;"",IFERROR(INDEX(SkillsMatrix_Data,MATCH(1,INDEX((INDEX(SkillsMatrix_Data,,1)=$B$2) * (INDEX(SkillsMatrix_Data,,2)=$C$2),0),0),MATCH(A89,SkillsMatrix_Skills,0)+3)," ")," ")</f>
        <v xml:space="preserve"> </v>
      </c>
      <c r="C89" t="str">
        <f t="shared" si="5"/>
        <v xml:space="preserve"> </v>
      </c>
      <c r="D89" t="str">
        <f t="shared" si="6"/>
        <v xml:space="preserve"> </v>
      </c>
      <c r="Q89" s="4"/>
      <c r="S89" s="4"/>
      <c r="T89" s="4"/>
      <c r="U89" s="33" t="str">
        <f t="shared" si="2"/>
        <v xml:space="preserve"> </v>
      </c>
    </row>
    <row r="90" spans="2:21" x14ac:dyDescent="0.2">
      <c r="B90" t="str" cm="1">
        <f t="array" ref="B90">IF(A90&lt;&gt;"",IFERROR(INDEX(SkillsMatrix_Data,MATCH(1,INDEX((INDEX(SkillsMatrix_Data,,1)=$B$2) * (INDEX(SkillsMatrix_Data,,2)=$C$2),0),0),MATCH(A90,SkillsMatrix_Skills,0)+3)," ")," ")</f>
        <v xml:space="preserve"> </v>
      </c>
      <c r="C90" t="str">
        <f t="shared" si="5"/>
        <v xml:space="preserve"> </v>
      </c>
      <c r="D90" t="str">
        <f t="shared" si="6"/>
        <v xml:space="preserve"> </v>
      </c>
      <c r="Q90" s="4"/>
      <c r="S90" s="4"/>
      <c r="T90" s="4"/>
      <c r="U90" s="33" t="str">
        <f t="shared" si="2"/>
        <v xml:space="preserve"> </v>
      </c>
    </row>
    <row r="91" spans="2:21" x14ac:dyDescent="0.2">
      <c r="B91" t="str" cm="1">
        <f t="array" ref="B91">IF(A91&lt;&gt;"",IFERROR(INDEX(SkillsMatrix_Data,MATCH(1,INDEX((INDEX(SkillsMatrix_Data,,1)=$B$2) * (INDEX(SkillsMatrix_Data,,2)=$C$2),0),0),MATCH(A91,SkillsMatrix_Skills,0)+3)," ")," ")</f>
        <v xml:space="preserve"> </v>
      </c>
      <c r="C91" t="str">
        <f t="shared" si="5"/>
        <v xml:space="preserve"> </v>
      </c>
      <c r="D91" t="str">
        <f t="shared" si="6"/>
        <v xml:space="preserve"> </v>
      </c>
      <c r="Q91" s="4"/>
      <c r="S91" s="4"/>
      <c r="T91" s="4"/>
      <c r="U91" s="33" t="str">
        <f t="shared" ref="U91:U128" si="7">IF(T91&lt;&gt;"",IF(ISERR(VLOOKUP("Team Average",GapAnalysis_Data,MATCH(T91,GapAnalysis_Skills,0)+3,FALSE))," ",VLOOKUP("Team Average",GapAnalysis_Data,MATCH(T91,GapAnalysis_Skills,0)+3,FALSE))," ")</f>
        <v xml:space="preserve"> </v>
      </c>
    </row>
    <row r="92" spans="2:21" x14ac:dyDescent="0.2">
      <c r="B92" t="str" cm="1">
        <f t="array" ref="B92">IF(A92&lt;&gt;"",IFERROR(INDEX(SkillsMatrix_Data,MATCH(1,INDEX((INDEX(SkillsMatrix_Data,,1)=$B$2) * (INDEX(SkillsMatrix_Data,,2)=$C$2),0),0),MATCH(A92,SkillsMatrix_Skills,0)+3)," ")," ")</f>
        <v xml:space="preserve"> </v>
      </c>
      <c r="C92" t="str">
        <f t="shared" si="5"/>
        <v xml:space="preserve"> </v>
      </c>
      <c r="D92" t="str">
        <f t="shared" si="6"/>
        <v xml:space="preserve"> </v>
      </c>
      <c r="Q92" s="4"/>
      <c r="S92" s="4"/>
      <c r="T92" s="4"/>
      <c r="U92" s="33" t="str">
        <f t="shared" si="7"/>
        <v xml:space="preserve"> </v>
      </c>
    </row>
    <row r="93" spans="2:21" x14ac:dyDescent="0.2">
      <c r="B93" t="str" cm="1">
        <f t="array" ref="B93">IF(A93&lt;&gt;"",IFERROR(INDEX(SkillsMatrix_Data,MATCH(1,INDEX((INDEX(SkillsMatrix_Data,,1)=$B$2) * (INDEX(SkillsMatrix_Data,,2)=$C$2),0),0),MATCH(A93,SkillsMatrix_Skills,0)+3)," ")," ")</f>
        <v xml:space="preserve"> </v>
      </c>
      <c r="C93" t="str">
        <f t="shared" si="5"/>
        <v xml:space="preserve"> </v>
      </c>
      <c r="D93" t="str">
        <f t="shared" si="6"/>
        <v xml:space="preserve"> </v>
      </c>
      <c r="Q93" s="4"/>
      <c r="S93" s="4"/>
      <c r="T93" s="4"/>
      <c r="U93" s="33" t="str">
        <f t="shared" si="7"/>
        <v xml:space="preserve"> </v>
      </c>
    </row>
    <row r="94" spans="2:21" x14ac:dyDescent="0.2">
      <c r="B94" t="str" cm="1">
        <f t="array" ref="B94">IF(A94&lt;&gt;"",IFERROR(INDEX(SkillsMatrix_Data,MATCH(1,INDEX((INDEX(SkillsMatrix_Data,,1)=$B$2) * (INDEX(SkillsMatrix_Data,,2)=$C$2),0),0),MATCH(A94,SkillsMatrix_Skills,0)+3)," ")," ")</f>
        <v xml:space="preserve"> </v>
      </c>
      <c r="C94" t="str">
        <f t="shared" si="5"/>
        <v xml:space="preserve"> </v>
      </c>
      <c r="D94" t="str">
        <f t="shared" si="6"/>
        <v xml:space="preserve"> </v>
      </c>
      <c r="Q94" s="4"/>
      <c r="S94" s="4"/>
      <c r="T94" s="4"/>
      <c r="U94" s="33" t="str">
        <f t="shared" si="7"/>
        <v xml:space="preserve"> </v>
      </c>
    </row>
    <row r="95" spans="2:21" x14ac:dyDescent="0.2">
      <c r="B95" t="str" cm="1">
        <f t="array" ref="B95">IF(A95&lt;&gt;"",IFERROR(INDEX(SkillsMatrix_Data,MATCH(1,INDEX((INDEX(SkillsMatrix_Data,,1)=$B$2) * (INDEX(SkillsMatrix_Data,,2)=$C$2),0),0),MATCH(A95,SkillsMatrix_Skills,0)+3)," ")," ")</f>
        <v xml:space="preserve"> </v>
      </c>
      <c r="C95" t="str">
        <f t="shared" si="5"/>
        <v xml:space="preserve"> </v>
      </c>
      <c r="D95" t="str">
        <f t="shared" si="6"/>
        <v xml:space="preserve"> </v>
      </c>
      <c r="Q95" s="4"/>
      <c r="S95" s="4"/>
      <c r="T95" s="4"/>
      <c r="U95" s="33" t="str">
        <f t="shared" si="7"/>
        <v xml:space="preserve"> </v>
      </c>
    </row>
    <row r="96" spans="2:21" x14ac:dyDescent="0.2">
      <c r="B96" t="str" cm="1">
        <f t="array" ref="B96">IF(A96&lt;&gt;"",IFERROR(INDEX(SkillsMatrix_Data,MATCH(1,INDEX((INDEX(SkillsMatrix_Data,,1)=$B$2) * (INDEX(SkillsMatrix_Data,,2)=$C$2),0),0),MATCH(A96,SkillsMatrix_Skills,0)+3)," ")," ")</f>
        <v xml:space="preserve"> </v>
      </c>
      <c r="C96" t="str">
        <f t="shared" si="5"/>
        <v xml:space="preserve"> </v>
      </c>
      <c r="D96" t="str">
        <f t="shared" si="6"/>
        <v xml:space="preserve"> </v>
      </c>
      <c r="Q96" s="4"/>
      <c r="S96" s="4"/>
      <c r="T96" s="4"/>
      <c r="U96" s="33" t="str">
        <f t="shared" si="7"/>
        <v xml:space="preserve"> </v>
      </c>
    </row>
    <row r="97" spans="2:21" x14ac:dyDescent="0.2">
      <c r="B97" t="str" cm="1">
        <f t="array" ref="B97">IF(A97&lt;&gt;"",IFERROR(INDEX(SkillsMatrix_Data,MATCH(1,INDEX((INDEX(SkillsMatrix_Data,,1)=$B$2) * (INDEX(SkillsMatrix_Data,,2)=$C$2),0),0),MATCH(A97,SkillsMatrix_Skills,0)+3)," ")," ")</f>
        <v xml:space="preserve"> </v>
      </c>
      <c r="C97" t="str">
        <f t="shared" si="5"/>
        <v xml:space="preserve"> </v>
      </c>
      <c r="D97" t="str">
        <f t="shared" si="6"/>
        <v xml:space="preserve"> </v>
      </c>
      <c r="Q97" s="4"/>
      <c r="S97" s="4"/>
      <c r="T97" s="4"/>
      <c r="U97" s="33" t="str">
        <f t="shared" si="7"/>
        <v xml:space="preserve"> </v>
      </c>
    </row>
    <row r="98" spans="2:21" x14ac:dyDescent="0.2">
      <c r="B98" t="str">
        <f t="shared" ref="B98:B101" si="8">IF(A98&lt;&gt;"",IF(ISERR(VLOOKUP($B$2,SkillMatrix_Data,MATCH(A98,SkillMatrix_Skill,0),FALSE))," ",VLOOKUP($B$2,SkillMatrix_Data,MATCH(A98,SkillMatrix_Skill,0),FALSE))," ")</f>
        <v xml:space="preserve"> </v>
      </c>
      <c r="C98" t="str">
        <f t="shared" si="5"/>
        <v xml:space="preserve"> </v>
      </c>
      <c r="D98" t="str">
        <f t="shared" si="6"/>
        <v xml:space="preserve"> </v>
      </c>
      <c r="Q98" s="4"/>
      <c r="S98" s="4"/>
      <c r="T98" s="4"/>
      <c r="U98" s="33" t="str">
        <f t="shared" si="7"/>
        <v xml:space="preserve"> </v>
      </c>
    </row>
    <row r="99" spans="2:21" x14ac:dyDescent="0.2">
      <c r="B99" t="str">
        <f t="shared" si="8"/>
        <v xml:space="preserve"> </v>
      </c>
      <c r="C99" t="str">
        <f t="shared" si="5"/>
        <v xml:space="preserve"> </v>
      </c>
      <c r="D99" t="str">
        <f t="shared" si="6"/>
        <v xml:space="preserve"> </v>
      </c>
      <c r="Q99" s="4"/>
      <c r="S99" s="4"/>
      <c r="T99" s="4"/>
      <c r="U99" s="33" t="str">
        <f t="shared" si="7"/>
        <v xml:space="preserve"> </v>
      </c>
    </row>
    <row r="100" spans="2:21" x14ac:dyDescent="0.2">
      <c r="B100" t="str">
        <f t="shared" si="8"/>
        <v xml:space="preserve"> </v>
      </c>
      <c r="C100" t="str">
        <f t="shared" si="5"/>
        <v xml:space="preserve"> </v>
      </c>
      <c r="D100" t="str">
        <f t="shared" si="6"/>
        <v xml:space="preserve"> </v>
      </c>
      <c r="Q100" s="4"/>
      <c r="S100" s="4"/>
      <c r="T100" s="4"/>
      <c r="U100" s="33" t="str">
        <f t="shared" si="7"/>
        <v xml:space="preserve"> </v>
      </c>
    </row>
    <row r="101" spans="2:21" x14ac:dyDescent="0.2">
      <c r="B101" t="str">
        <f t="shared" si="8"/>
        <v xml:space="preserve"> </v>
      </c>
      <c r="C101" t="str">
        <f t="shared" ref="C101" si="9">IF(A101&lt;&gt;"",IF(ISERR(VLOOKUP($C$4,Role_Data,MATCH(A101,Role_Skill,0),FALSE))," ",VLOOKUP($C$4,Role_Data,MATCH(A101,Role_Skill,0),FALSE))," ")</f>
        <v xml:space="preserve"> </v>
      </c>
      <c r="D101" t="str">
        <f t="shared" ref="D101" si="10">IF(A101&lt;&gt;"",IF(ISERR(VLOOKUP($D$4,Role_Data,MATCH(A101,Role_Skill,0),FALSE))," ",VLOOKUP($D$4,Role_Data,MATCH(A101,Role_Skill,0),FALSE))," ")</f>
        <v xml:space="preserve"> </v>
      </c>
      <c r="Q101" s="4"/>
      <c r="S101" s="4"/>
      <c r="T101" s="4"/>
      <c r="U101" s="33" t="str">
        <f t="shared" si="7"/>
        <v xml:space="preserve"> </v>
      </c>
    </row>
    <row r="102" spans="2:21" x14ac:dyDescent="0.2">
      <c r="Q102" s="4"/>
      <c r="S102" s="4"/>
      <c r="T102" s="4"/>
      <c r="U102" s="33" t="str">
        <f t="shared" si="7"/>
        <v xml:space="preserve"> </v>
      </c>
    </row>
    <row r="103" spans="2:21" x14ac:dyDescent="0.2">
      <c r="Q103" s="4"/>
      <c r="S103" s="4"/>
      <c r="T103" s="4"/>
      <c r="U103" s="33" t="str">
        <f t="shared" si="7"/>
        <v xml:space="preserve"> </v>
      </c>
    </row>
    <row r="104" spans="2:21" x14ac:dyDescent="0.2">
      <c r="Q104" s="4"/>
      <c r="S104" s="4"/>
      <c r="T104" s="4"/>
      <c r="U104" s="33" t="str">
        <f t="shared" si="7"/>
        <v xml:space="preserve"> </v>
      </c>
    </row>
    <row r="105" spans="2:21" x14ac:dyDescent="0.2">
      <c r="Q105" s="4"/>
      <c r="S105" s="4"/>
      <c r="T105" s="4"/>
      <c r="U105" s="33" t="str">
        <f t="shared" si="7"/>
        <v xml:space="preserve"> </v>
      </c>
    </row>
    <row r="106" spans="2:21" x14ac:dyDescent="0.2">
      <c r="Q106" s="4"/>
      <c r="S106" s="4"/>
      <c r="T106" s="4"/>
      <c r="U106" s="33" t="str">
        <f t="shared" si="7"/>
        <v xml:space="preserve"> </v>
      </c>
    </row>
    <row r="107" spans="2:21" x14ac:dyDescent="0.2">
      <c r="Q107" s="4"/>
      <c r="S107" s="4"/>
      <c r="T107" s="4"/>
      <c r="U107" s="33" t="str">
        <f t="shared" si="7"/>
        <v xml:space="preserve"> </v>
      </c>
    </row>
    <row r="108" spans="2:21" x14ac:dyDescent="0.2">
      <c r="Q108" s="4"/>
      <c r="S108" s="4"/>
      <c r="T108" s="4"/>
      <c r="U108" s="33" t="str">
        <f t="shared" si="7"/>
        <v xml:space="preserve"> </v>
      </c>
    </row>
    <row r="109" spans="2:21" x14ac:dyDescent="0.2">
      <c r="Q109" s="4"/>
      <c r="S109" s="4"/>
      <c r="T109" s="4"/>
      <c r="U109" s="33" t="str">
        <f t="shared" si="7"/>
        <v xml:space="preserve"> </v>
      </c>
    </row>
    <row r="110" spans="2:21" x14ac:dyDescent="0.2">
      <c r="Q110" s="4"/>
      <c r="S110" s="4"/>
      <c r="T110" s="4"/>
      <c r="U110" s="33" t="str">
        <f t="shared" si="7"/>
        <v xml:space="preserve"> </v>
      </c>
    </row>
    <row r="111" spans="2:21" x14ac:dyDescent="0.2">
      <c r="Q111" s="4"/>
      <c r="S111" s="4"/>
      <c r="T111" s="4"/>
      <c r="U111" s="33" t="str">
        <f t="shared" si="7"/>
        <v xml:space="preserve"> </v>
      </c>
    </row>
    <row r="112" spans="2:21" x14ac:dyDescent="0.2">
      <c r="Q112" s="4"/>
      <c r="S112" s="4"/>
      <c r="T112" s="4"/>
      <c r="U112" s="33" t="str">
        <f t="shared" si="7"/>
        <v xml:space="preserve"> </v>
      </c>
    </row>
    <row r="113" spans="17:21" x14ac:dyDescent="0.2">
      <c r="Q113" s="4"/>
      <c r="S113" s="4"/>
      <c r="T113" s="4"/>
      <c r="U113" s="33" t="str">
        <f t="shared" si="7"/>
        <v xml:space="preserve"> </v>
      </c>
    </row>
    <row r="114" spans="17:21" x14ac:dyDescent="0.2">
      <c r="U114" s="33" t="str">
        <f t="shared" si="7"/>
        <v xml:space="preserve"> </v>
      </c>
    </row>
    <row r="115" spans="17:21" x14ac:dyDescent="0.2">
      <c r="U115" s="33" t="str">
        <f t="shared" si="7"/>
        <v xml:space="preserve"> </v>
      </c>
    </row>
    <row r="116" spans="17:21" x14ac:dyDescent="0.2">
      <c r="U116" s="33" t="str">
        <f t="shared" si="7"/>
        <v xml:space="preserve"> </v>
      </c>
    </row>
    <row r="117" spans="17:21" x14ac:dyDescent="0.2">
      <c r="U117" s="33" t="str">
        <f t="shared" si="7"/>
        <v xml:space="preserve"> </v>
      </c>
    </row>
    <row r="118" spans="17:21" x14ac:dyDescent="0.2">
      <c r="U118" s="33" t="str">
        <f t="shared" si="7"/>
        <v xml:space="preserve"> </v>
      </c>
    </row>
    <row r="119" spans="17:21" x14ac:dyDescent="0.2">
      <c r="U119" s="33" t="str">
        <f t="shared" si="7"/>
        <v xml:space="preserve"> </v>
      </c>
    </row>
    <row r="120" spans="17:21" x14ac:dyDescent="0.2">
      <c r="U120" s="33" t="str">
        <f t="shared" si="7"/>
        <v xml:space="preserve"> </v>
      </c>
    </row>
    <row r="121" spans="17:21" x14ac:dyDescent="0.2">
      <c r="U121" s="33" t="str">
        <f t="shared" si="7"/>
        <v xml:space="preserve"> </v>
      </c>
    </row>
    <row r="122" spans="17:21" x14ac:dyDescent="0.2">
      <c r="U122" s="33" t="str">
        <f t="shared" si="7"/>
        <v xml:space="preserve"> </v>
      </c>
    </row>
    <row r="123" spans="17:21" x14ac:dyDescent="0.2">
      <c r="U123" s="33" t="str">
        <f t="shared" si="7"/>
        <v xml:space="preserve"> </v>
      </c>
    </row>
    <row r="124" spans="17:21" x14ac:dyDescent="0.2">
      <c r="U124" s="33" t="str">
        <f t="shared" si="7"/>
        <v xml:space="preserve"> </v>
      </c>
    </row>
    <row r="125" spans="17:21" x14ac:dyDescent="0.2">
      <c r="U125" s="33" t="str">
        <f t="shared" si="7"/>
        <v xml:space="preserve"> </v>
      </c>
    </row>
    <row r="126" spans="17:21" x14ac:dyDescent="0.2">
      <c r="U126" s="33" t="str">
        <f t="shared" si="7"/>
        <v xml:space="preserve"> </v>
      </c>
    </row>
    <row r="127" spans="17:21" x14ac:dyDescent="0.2">
      <c r="U127" s="33" t="str">
        <f t="shared" si="7"/>
        <v xml:space="preserve"> </v>
      </c>
    </row>
    <row r="128" spans="17:21" x14ac:dyDescent="0.2">
      <c r="U128" s="33" t="str">
        <f t="shared" si="7"/>
        <v xml:space="preserve"> </v>
      </c>
    </row>
  </sheetData>
  <sheetProtection formatCells="0" formatColumns="0" formatRows="0" insertColumns="0" insertRows="0" insertHyperlinks="0" deleteColumns="0" deleteRows="0" sort="0" autoFilter="0" pivotTables="0"/>
  <dataValidations count="3">
    <dataValidation type="list" allowBlank="1" showInputMessage="1" showErrorMessage="1" sqref="D2" xr:uid="{DE6C581D-C9C0-4D79-BA18-79F395E2C2BE}">
      <formula1>ListRole</formula1>
    </dataValidation>
    <dataValidation type="list" allowBlank="1" showInputMessage="1" showErrorMessage="1" sqref="B2" xr:uid="{EF72A94B-783C-44D3-A5C2-F9A60FF8BE30}">
      <formula1>ListEmp</formula1>
    </dataValidation>
    <dataValidation type="list" allowBlank="1" showInputMessage="1" showErrorMessage="1" sqref="C2" xr:uid="{8E854CCA-C0F2-4D24-B540-08DFE4EC3401}">
      <formula1>ListRoleEmp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F684E-0AE8-4F2A-80D2-1CD65DCAD01A}">
  <sheetPr codeName="Sheet5"/>
  <dimension ref="A1:C8"/>
  <sheetViews>
    <sheetView workbookViewId="0">
      <selection activeCell="C18" sqref="C18"/>
    </sheetView>
  </sheetViews>
  <sheetFormatPr defaultRowHeight="12.75" x14ac:dyDescent="0.2"/>
  <cols>
    <col min="2" max="2" width="20.7109375" bestFit="1" customWidth="1"/>
    <col min="3" max="3" width="34" bestFit="1" customWidth="1"/>
  </cols>
  <sheetData>
    <row r="1" spans="1:3" ht="13.5" thickBot="1" x14ac:dyDescent="0.25"/>
    <row r="2" spans="1:3" ht="13.5" thickBot="1" x14ac:dyDescent="0.25">
      <c r="A2" s="42" t="s">
        <v>19</v>
      </c>
      <c r="B2" s="42" t="s">
        <v>20</v>
      </c>
      <c r="C2" s="42" t="s">
        <v>21</v>
      </c>
    </row>
    <row r="3" spans="1:3" x14ac:dyDescent="0.2">
      <c r="A3" s="41" t="s">
        <v>22</v>
      </c>
      <c r="B3" s="41" t="s">
        <v>23</v>
      </c>
      <c r="C3" s="41" t="s">
        <v>24</v>
      </c>
    </row>
    <row r="4" spans="1:3" x14ac:dyDescent="0.2">
      <c r="A4" s="43" t="s">
        <v>76</v>
      </c>
      <c r="B4" s="41" t="s">
        <v>23</v>
      </c>
      <c r="C4" s="43" t="s">
        <v>77</v>
      </c>
    </row>
    <row r="5" spans="1:3" x14ac:dyDescent="0.2">
      <c r="A5" s="40"/>
      <c r="B5" s="40"/>
      <c r="C5" s="40"/>
    </row>
    <row r="6" spans="1:3" x14ac:dyDescent="0.2">
      <c r="A6" s="40"/>
      <c r="B6" s="40"/>
      <c r="C6" s="40"/>
    </row>
    <row r="7" spans="1:3" x14ac:dyDescent="0.2">
      <c r="A7" s="40"/>
      <c r="B7" s="40"/>
      <c r="C7" s="40"/>
    </row>
    <row r="8" spans="1:3" x14ac:dyDescent="0.2">
      <c r="A8" s="40"/>
      <c r="B8" s="40"/>
      <c r="C8" s="4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C3A40-C68E-48ED-9BE6-7A78EE4EE9EF}">
  <sheetPr codeName="Sheet6"/>
  <dimension ref="A2:C10"/>
  <sheetViews>
    <sheetView workbookViewId="0">
      <selection activeCell="E5" sqref="E5"/>
    </sheetView>
  </sheetViews>
  <sheetFormatPr defaultRowHeight="12.75" x14ac:dyDescent="0.2"/>
  <cols>
    <col min="1" max="1" width="23.5703125" bestFit="1" customWidth="1"/>
    <col min="3" max="3" width="74.140625" customWidth="1"/>
  </cols>
  <sheetData>
    <row r="2" spans="1:3" ht="13.5" thickBot="1" x14ac:dyDescent="0.25">
      <c r="A2" s="7"/>
    </row>
    <row r="3" spans="1:3" ht="26.25" thickBot="1" x14ac:dyDescent="0.25">
      <c r="B3" s="46" t="s">
        <v>25</v>
      </c>
      <c r="C3" s="45" t="s">
        <v>120</v>
      </c>
    </row>
    <row r="4" spans="1:3" ht="26.25" thickBot="1" x14ac:dyDescent="0.25">
      <c r="B4" s="46" t="s">
        <v>26</v>
      </c>
      <c r="C4" s="45" t="s">
        <v>117</v>
      </c>
    </row>
    <row r="5" spans="1:3" ht="51.75" thickBot="1" x14ac:dyDescent="0.25">
      <c r="B5" s="46" t="s">
        <v>52</v>
      </c>
      <c r="C5" s="45" t="s">
        <v>73</v>
      </c>
    </row>
    <row r="6" spans="1:3" ht="13.5" thickBot="1" x14ac:dyDescent="0.25">
      <c r="B6" s="46" t="s">
        <v>72</v>
      </c>
      <c r="C6" s="45" t="s">
        <v>74</v>
      </c>
    </row>
    <row r="8" spans="1:3" ht="25.5" x14ac:dyDescent="0.2">
      <c r="C8" s="44" t="s">
        <v>75</v>
      </c>
    </row>
    <row r="9" spans="1:3" ht="13.5" thickBot="1" x14ac:dyDescent="0.25"/>
    <row r="10" spans="1:3" ht="39" thickBot="1" x14ac:dyDescent="0.25">
      <c r="B10" s="87" t="s">
        <v>27</v>
      </c>
      <c r="C10" s="45" t="s">
        <v>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ca4f4e7-c624-4caf-b3e6-c8f2a2497a43" xsi:nil="true"/>
    <lcf76f155ced4ddcb4097134ff3c332f xmlns="3f076dc2-fbdd-4702-96c7-7236b1cfcbbd">
      <Terms xmlns="http://schemas.microsoft.com/office/infopath/2007/PartnerControls"/>
    </lcf76f155ced4ddcb4097134ff3c332f>
    <_Flow_SignoffStatus xmlns="3f076dc2-fbdd-4702-96c7-7236b1cfcbbd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A53315F73D0024C8F3F9738BB96C870" ma:contentTypeVersion="19" ma:contentTypeDescription="Create a new document." ma:contentTypeScope="" ma:versionID="c5c15126fcc82bb79deb64d857c9cd68">
  <xsd:schema xmlns:xsd="http://www.w3.org/2001/XMLSchema" xmlns:xs="http://www.w3.org/2001/XMLSchema" xmlns:p="http://schemas.microsoft.com/office/2006/metadata/properties" xmlns:ns2="3f076dc2-fbdd-4702-96c7-7236b1cfcbbd" xmlns:ns3="5ca4f4e7-c624-4caf-b3e6-c8f2a2497a43" targetNamespace="http://schemas.microsoft.com/office/2006/metadata/properties" ma:root="true" ma:fieldsID="c7a56142e5784c526619faaa8c11c79f" ns2:_="" ns3:_="">
    <xsd:import namespace="3f076dc2-fbdd-4702-96c7-7236b1cfcbbd"/>
    <xsd:import namespace="5ca4f4e7-c624-4caf-b3e6-c8f2a2497a4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_Flow_SignoffStatu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076dc2-fbdd-4702-96c7-7236b1cfcb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4" nillable="true" ma:displayName="Sign-off status" ma:internalName="Sign_x002d_off_x0020_status">
      <xsd:simpleType>
        <xsd:restriction base="dms:Text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b71a908-9dae-4f72-9424-e8ff7903fbc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a4f4e7-c624-4caf-b3e6-c8f2a2497a43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9" nillable="true" ma:displayName="Taxonomy Catch All Column" ma:hidden="true" ma:list="{57d806d1-ead7-4962-917e-987d4e583348}" ma:internalName="TaxCatchAll" ma:showField="CatchAllData" ma:web="5ca4f4e7-c624-4caf-b3e6-c8f2a2497a4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B46C721-D36C-4BA1-8C1E-5C721B9838B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EB85FAC-D08C-4C51-A143-957513BCA1E0}">
  <ds:schemaRefs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terms/"/>
    <ds:schemaRef ds:uri="5ca4f4e7-c624-4caf-b3e6-c8f2a2497a43"/>
    <ds:schemaRef ds:uri="3f076dc2-fbdd-4702-96c7-7236b1cfcbb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273F7214-9C58-469D-AB75-F079C9409B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076dc2-fbdd-4702-96c7-7236b1cfcbbd"/>
    <ds:schemaRef ds:uri="5ca4f4e7-c624-4caf-b3e6-c8f2a2497a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e735c83d-bfef-4cae-bed1-c864a120ab55}" enabled="1" method="Standard" siteId="{c19239e5-1337-436d-800a-1b4283c280dd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Roles Matrix</vt:lpstr>
      <vt:lpstr>Temp</vt:lpstr>
      <vt:lpstr>Skills Matrix</vt:lpstr>
      <vt:lpstr>Gap Analysis</vt:lpstr>
      <vt:lpstr>Chart Analysis</vt:lpstr>
      <vt:lpstr>Version</vt:lpstr>
      <vt:lpstr>Readme</vt:lpstr>
      <vt:lpstr>Chart_EmpListSkill</vt:lpstr>
      <vt:lpstr>GapAnalysis_Data</vt:lpstr>
      <vt:lpstr>GapAnalysis_Skills</vt:lpstr>
      <vt:lpstr>ListEmp</vt:lpstr>
      <vt:lpstr>ListEmployee</vt:lpstr>
      <vt:lpstr>ListRole</vt:lpstr>
      <vt:lpstr>ListRoleEmp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Stuart Lawson</dc:creator>
  <cp:keywords/>
  <dc:description/>
  <cp:lastModifiedBy>Tai, Tran Anh [Tech/Cust-Service Sys, Dist-Administrat</cp:lastModifiedBy>
  <cp:revision/>
  <dcterms:created xsi:type="dcterms:W3CDTF">2009-08-14T05:39:11Z</dcterms:created>
  <dcterms:modified xsi:type="dcterms:W3CDTF">2025-10-29T11:07:39Z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0x0101003A53315F73D0024C8F3F9738BB96C870</vt:lpwstr>
  </property>
  <property fmtid="{D5CDD505-2E9C-101B-9397-08002B2CF9AE}" pid="3" name="MediaServiceImageTags">
    <vt:lpwstr/>
  </property>
</Properties>
</file>